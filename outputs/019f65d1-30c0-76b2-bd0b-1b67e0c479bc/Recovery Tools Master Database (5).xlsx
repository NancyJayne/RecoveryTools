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21.xml" ContentType="application/vnd.openxmlformats-officedocument.spreadsheetml.worksheet+xml"/>
  <Override PartName="/xl/tables/table7.xml" ContentType="application/vnd.openxmlformats-officedocument.spreadsheetml.table+xml"/>
  <Override PartName="/xl/worksheets/sheet22.xml" ContentType="application/vnd.openxmlformats-officedocument.spreadsheetml.worksheet+xml"/>
  <Override PartName="/xl/tables/table8.xml" ContentType="application/vnd.openxmlformats-officedocument.spreadsheetml.table+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ables/table13.xml" ContentType="application/vnd.openxmlformats-officedocument.spreadsheetml.table+xml"/>
  <Override PartName="/xl/worksheets/sheet32.xml" ContentType="application/vnd.openxmlformats-officedocument.spreadsheetml.worksheet+xml"/>
  <Override PartName="/xl/tables/table1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15.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ables/table16.xml" ContentType="application/vnd.openxmlformats-officedocument.spreadsheetml.table+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ables/table17.xml" ContentType="application/vnd.openxmlformats-officedocument.spreadsheetml.table+xml"/>
  <Override PartName="/xl/worksheets/sheet72.xml" ContentType="application/vnd.openxmlformats-officedocument.spreadsheetml.worksheet+xml"/>
  <Override PartName="/xl/tables/table18.xml" ContentType="application/vnd.openxmlformats-officedocument.spreadsheetml.table+xml"/>
  <Override PartName="/xl/worksheets/sheet73.xml" ContentType="application/vnd.openxmlformats-officedocument.spreadsheetml.worksheet+xml"/>
  <Override PartName="/xl/tables/table19.xml" ContentType="application/vnd.openxmlformats-officedocument.spreadsheetml.table+xml"/>
  <Override PartName="/xl/worksheets/sheet74.xml" ContentType="application/vnd.openxmlformats-officedocument.spreadsheetml.worksheet+xml"/>
  <Override PartName="/xl/tables/table20.xml" ContentType="application/vnd.openxmlformats-officedocument.spreadsheetml.table+xml"/>
  <Override PartName="/xl/worksheets/sheet75.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9e2b0b44354d74" /></Relationships>
</file>

<file path=xl/workbook.xml><?xml version="1.0" encoding="utf-8"?>
<x:workbook xmlns:x="http://schemas.openxmlformats.org/spreadsheetml/2006/main">
  <x:sheets>
    <x:sheet xmlns:r="http://schemas.openxmlformats.org/officeDocument/2006/relationships" name="System_Documentation" sheetId="1" r:id="Rc258b8fb8b4b4bf1"/>
    <x:sheet xmlns:r="http://schemas.openxmlformats.org/officeDocument/2006/relationships" name="How to add Content" sheetId="2" r:id="R1b044dc024b94863"/>
    <x:sheet xmlns:r="http://schemas.openxmlformats.org/officeDocument/2006/relationships" name="Category" sheetId="3" r:id="R990558505fe2401d"/>
    <x:sheet xmlns:r="http://schemas.openxmlformats.org/officeDocument/2006/relationships" name="Tags" sheetId="4" r:id="Rfab80c798b3240dd"/>
    <x:sheet xmlns:r="http://schemas.openxmlformats.org/officeDocument/2006/relationships" name="Anatomy Terms" sheetId="5" r:id="Rfbd871fc65124799"/>
    <x:sheet xmlns:r="http://schemas.openxmlformats.org/officeDocument/2006/relationships" name="Region" sheetId="6" r:id="R2fcff76912794a92"/>
    <x:sheet xmlns:r="http://schemas.openxmlformats.org/officeDocument/2006/relationships" name="Tissue Type" sheetId="7" r:id="R1ae847ac990e4cc0"/>
    <x:sheet xmlns:r="http://schemas.openxmlformats.org/officeDocument/2006/relationships" name="Conditions" sheetId="8" r:id="R4c37d77b92814430"/>
    <x:sheet xmlns:r="http://schemas.openxmlformats.org/officeDocument/2006/relationships" name="Flags" sheetId="9" r:id="R383a292c35e4471a"/>
    <x:sheet xmlns:r="http://schemas.openxmlformats.org/officeDocument/2006/relationships" name="Phases" sheetId="10" r:id="R72eea84f9c3f43e8"/>
    <x:sheet xmlns:r="http://schemas.openxmlformats.org/officeDocument/2006/relationships" name="Timing" sheetId="11" r:id="R401ed477480549ca"/>
    <x:sheet xmlns:r="http://schemas.openxmlformats.org/officeDocument/2006/relationships" name="Position Terms" sheetId="12" r:id="R7ab745907dba4bd9"/>
    <x:sheet xmlns:r="http://schemas.openxmlformats.org/officeDocument/2006/relationships" name="Movement Terms" sheetId="13" r:id="R4b97e1bfc7f24fa7"/>
    <x:sheet xmlns:r="http://schemas.openxmlformats.org/officeDocument/2006/relationships" name="Glide Terms" sheetId="14" r:id="R610293a7c43d41e2"/>
    <x:sheet xmlns:r="http://schemas.openxmlformats.org/officeDocument/2006/relationships" name="Technique Terms" sheetId="15" r:id="R7b108ef9f79a4283"/>
    <x:sheet xmlns:r="http://schemas.openxmlformats.org/officeDocument/2006/relationships" name="Abbreviations" sheetId="16" r:id="R1ffb117d876a439f"/>
    <x:sheet xmlns:r="http://schemas.openxmlformats.org/officeDocument/2006/relationships" name="Blueprint Templates" sheetId="17" r:id="Rc8c45f9a28d549cc"/>
    <x:sheet xmlns:r="http://schemas.openxmlformats.org/officeDocument/2006/relationships" name="BlueprintTemplateFields" sheetId="18" r:id="R1b243f4f6b4e473f"/>
    <x:sheet xmlns:r="http://schemas.openxmlformats.org/officeDocument/2006/relationships" name="Blueprints" sheetId="19" r:id="R004f17e877894e5d"/>
    <x:sheet xmlns:r="http://schemas.openxmlformats.org/officeDocument/2006/relationships" name="Blueprint Clinical" sheetId="20" r:id="Rdfc01dff05ae45c8"/>
    <x:sheet xmlns:r="http://schemas.openxmlformats.org/officeDocument/2006/relationships" name="BlueprintTagLinks" sheetId="21" r:id="R23382349e5c44f73"/>
    <x:sheet xmlns:r="http://schemas.openxmlformats.org/officeDocument/2006/relationships" name="Blueprint Items" sheetId="22" r:id="R2dd8636a80854cf5"/>
    <x:sheet xmlns:r="http://schemas.openxmlformats.org/officeDocument/2006/relationships" name="Blueprint Methods" sheetId="23" r:id="R9759762c62094372"/>
    <x:sheet xmlns:r="http://schemas.openxmlformats.org/officeDocument/2006/relationships" name="Blueprint Findings" sheetId="24" r:id="Rf59b13dcc677475e"/>
    <x:sheet xmlns:r="http://schemas.openxmlformats.org/officeDocument/2006/relationships" name="Blueprint Dosage" sheetId="25" r:id="Ra31c76542f5441b8"/>
    <x:sheet xmlns:r="http://schemas.openxmlformats.org/officeDocument/2006/relationships" name="Blueprint Neuro Details" sheetId="26" r:id="R2cf1378979a3400d"/>
    <x:sheet xmlns:r="http://schemas.openxmlformats.org/officeDocument/2006/relationships" name="Blueprint Links" sheetId="27" r:id="Rcdc39355fa524f2f"/>
    <x:sheet xmlns:r="http://schemas.openxmlformats.org/officeDocument/2006/relationships" name="Plan Templates" sheetId="28" r:id="Re41d9a9841cb4fb7"/>
    <x:sheet xmlns:r="http://schemas.openxmlformats.org/officeDocument/2006/relationships" name="PlanTemplateVariants" sheetId="29" r:id="R4c08d44d088b4155"/>
    <x:sheet xmlns:r="http://schemas.openxmlformats.org/officeDocument/2006/relationships" name="PlanTemplateSlots" sheetId="30" r:id="Rc78e603e68e6453f"/>
    <x:sheet xmlns:r="http://schemas.openxmlformats.org/officeDocument/2006/relationships" name="Plan" sheetId="31" r:id="R078f8bc9fd66401a"/>
    <x:sheet xmlns:r="http://schemas.openxmlformats.org/officeDocument/2006/relationships" name="Plan Items" sheetId="32" r:id="Reada4b88365f45d5"/>
    <x:sheet xmlns:r="http://schemas.openxmlformats.org/officeDocument/2006/relationships" name="Plan Course Details" sheetId="33" r:id="R390ef60ece9c470b"/>
    <x:sheet xmlns:r="http://schemas.openxmlformats.org/officeDocument/2006/relationships" name="Plan Dosage" sheetId="34" r:id="R8a16d9a2dfb1454d"/>
    <x:sheet xmlns:r="http://schemas.openxmlformats.org/officeDocument/2006/relationships" name="Plan Workshop Details" sheetId="35" r:id="Rca980e1ee3c0483f"/>
    <x:sheet xmlns:r="http://schemas.openxmlformats.org/officeDocument/2006/relationships" name="Workshop Events" sheetId="36" r:id="Raf3f1b67750645fe"/>
    <x:sheet xmlns:r="http://schemas.openxmlformats.org/officeDocument/2006/relationships" name="Certificates" sheetId="37" r:id="R60398a7a77914dc4"/>
    <x:sheet xmlns:r="http://schemas.openxmlformats.org/officeDocument/2006/relationships" name="Pathways" sheetId="38" r:id="R82bca8352f8d481a"/>
    <x:sheet xmlns:r="http://schemas.openxmlformats.org/officeDocument/2006/relationships" name="Progression Criteria" sheetId="39" r:id="R87158eaa824a448e"/>
    <x:sheet xmlns:r="http://schemas.openxmlformats.org/officeDocument/2006/relationships" name="Teaching Licence" sheetId="40" r:id="R0e055579a99d410b"/>
    <x:sheet xmlns:r="http://schemas.openxmlformats.org/officeDocument/2006/relationships" name="Items" sheetId="41" r:id="R5ddf85a2771a401e"/>
    <x:sheet xmlns:r="http://schemas.openxmlformats.org/officeDocument/2006/relationships" name="ItemProduct" sheetId="42" r:id="Rd9d91808899b4c85"/>
    <x:sheet xmlns:r="http://schemas.openxmlformats.org/officeDocument/2006/relationships" name="ProductPrice" sheetId="43" r:id="R413f288ddebf457d"/>
    <x:sheet xmlns:r="http://schemas.openxmlformats.org/officeDocument/2006/relationships" name="ItemVariants" sheetId="44" r:id="Ra45054062bb74919"/>
    <x:sheet xmlns:r="http://schemas.openxmlformats.org/officeDocument/2006/relationships" name="Asset" sheetId="45" r:id="Rc14d2440c1b842f9"/>
    <x:sheet xmlns:r="http://schemas.openxmlformats.org/officeDocument/2006/relationships" name="ItemAsset" sheetId="46" r:id="R11dbe294594e472f"/>
    <x:sheet xmlns:r="http://schemas.openxmlformats.org/officeDocument/2006/relationships" name="Inventory" sheetId="47" r:id="Rbe1f9750b8334ca9"/>
    <x:sheet xmlns:r="http://schemas.openxmlformats.org/officeDocument/2006/relationships" name="Item Access" sheetId="48" r:id="R90ae3dccff7d4568"/>
    <x:sheet xmlns:r="http://schemas.openxmlformats.org/officeDocument/2006/relationships" name="User Access" sheetId="49" r:id="R782712e0e96947dc"/>
    <x:sheet xmlns:r="http://schemas.openxmlformats.org/officeDocument/2006/relationships" name="Access Codes" sheetId="50" r:id="R4b6d4a18e1694a1b"/>
    <x:sheet xmlns:r="http://schemas.openxmlformats.org/officeDocument/2006/relationships" name="Discount Codes" sheetId="51" r:id="Rf46419070cd74d5f"/>
    <x:sheet xmlns:r="http://schemas.openxmlformats.org/officeDocument/2006/relationships" name="Promotion Codes" sheetId="52" r:id="Rcaaf7f94ec4a43d3"/>
    <x:sheet xmlns:r="http://schemas.openxmlformats.org/officeDocument/2006/relationships" name="Case Log" sheetId="53" r:id="R3bb1f9b3e2e54d4d"/>
    <x:sheet xmlns:r="http://schemas.openxmlformats.org/officeDocument/2006/relationships" name="Session Log" sheetId="54" r:id="Rd7d2f2bb3d0e4d9c"/>
    <x:sheet xmlns:r="http://schemas.openxmlformats.org/officeDocument/2006/relationships" name="Session Log Items" sheetId="55" r:id="Re63289df11924634"/>
    <x:sheet xmlns:r="http://schemas.openxmlformats.org/officeDocument/2006/relationships" name="Session Recommendations" sheetId="56" r:id="R187480dca658403d"/>
    <x:sheet xmlns:r="http://schemas.openxmlformats.org/officeDocument/2006/relationships" name="DDx Result Table" sheetId="57" r:id="Rfad864b4ca064a9d"/>
    <x:sheet xmlns:r="http://schemas.openxmlformats.org/officeDocument/2006/relationships" name="Orders" sheetId="58" r:id="Ra32e4a7322e14d42"/>
    <x:sheet xmlns:r="http://schemas.openxmlformats.org/officeDocument/2006/relationships" name="OrderItem" sheetId="59" r:id="R9992ce344cf24402"/>
    <x:sheet xmlns:r="http://schemas.openxmlformats.org/officeDocument/2006/relationships" name="CustomerAddresses" sheetId="60" r:id="Rdd2365b844eb4710"/>
    <x:sheet xmlns:r="http://schemas.openxmlformats.org/officeDocument/2006/relationships" name="Shipments" sheetId="61" r:id="Refb23898541b4d49"/>
    <x:sheet xmlns:r="http://schemas.openxmlformats.org/officeDocument/2006/relationships" name="StripeEvents" sheetId="62" r:id="R4d91cd0a69c24347"/>
    <x:sheet xmlns:r="http://schemas.openxmlformats.org/officeDocument/2006/relationships" name="AdminStatusHistory" sheetId="63" r:id="R2f386e722a514c25"/>
    <x:sheet xmlns:r="http://schemas.openxmlformats.org/officeDocument/2006/relationships" name="Invoices" sheetId="64" r:id="R79dce92bb7b84d09"/>
    <x:sheet xmlns:r="http://schemas.openxmlformats.org/officeDocument/2006/relationships" name="Suppliers" sheetId="65" r:id="Rca14dd02f0934bdc"/>
    <x:sheet xmlns:r="http://schemas.openxmlformats.org/officeDocument/2006/relationships" name="Users" sheetId="66" r:id="R70d768bd57d44fea"/>
    <x:sheet xmlns:r="http://schemas.openxmlformats.org/officeDocument/2006/relationships" name="Affiliates" sheetId="67" r:id="R50963f3986864c2a"/>
    <x:sheet xmlns:r="http://schemas.openxmlformats.org/officeDocument/2006/relationships" name="Therapists" sheetId="68" r:id="R0f0508d467284b71"/>
    <x:sheet xmlns:r="http://schemas.openxmlformats.org/officeDocument/2006/relationships" name="Admin" sheetId="69" r:id="Rcf163c40a5e04dec"/>
    <x:sheet xmlns:r="http://schemas.openxmlformats.org/officeDocument/2006/relationships" name="Instructors" sheetId="70" r:id="R0ab1f7503c4944b8"/>
    <x:sheet xmlns:r="http://schemas.openxmlformats.org/officeDocument/2006/relationships" name="Entity Types" sheetId="71" r:id="Rf80030ad55eb49dd"/>
    <x:sheet xmlns:r="http://schemas.openxmlformats.org/officeDocument/2006/relationships" name="ItemTagLinks" sheetId="72" r:id="Rfdf48be2114d40a0"/>
    <x:sheet xmlns:r="http://schemas.openxmlformats.org/officeDocument/2006/relationships" name="PlanTagLinks" sheetId="73" r:id="Ra653af360fd64cba"/>
    <x:sheet xmlns:r="http://schemas.openxmlformats.org/officeDocument/2006/relationships" name="Firebase Mapping" sheetId="74" r:id="R98a47b37865d418c"/>
    <x:sheet xmlns:r="http://schemas.openxmlformats.org/officeDocument/2006/relationships" name="Data Quality" sheetId="75" r:id="Rae9d0b4fb19d4a47"/>
  </x:sheets>
</x:workbook>
</file>

<file path=xl/sharedStrings.xml><?xml version="1.0" encoding="utf-8"?>
<x:sst xmlns:x="http://schemas.openxmlformats.org/spreadsheetml/2006/main">
  <x:si>
    <x:t xml:space="preserve"># Myotherapy Blueprint Database Architecture</x:t>
  </x:si>
  <x:si>
    <x:t xml:space="preserve">Item = resource/block/Blueprint components</x:t>
  </x:si>
  <x:si>
    <x:t xml:space="preserve">Blueprint = reusable module/process/lesson/clinical actions/marketing template</x:t>
  </x:si>
  <x:si>
    <x:t xml:space="preserve">Plan = ordered pathway made from Blueprints/bundled workflows</x:t>
  </x:si>
  <x:si>
    <x:t xml:space="preserve">Session Logs = what actually happened</x:t>
  </x:si>
  <x:si>
    <x:t xml:space="preserve">Items are reusable building blocks. Blueprints are recipes made from Items. Plans are collections of Blueprints. Products are sellable wrappers around Items, Blueprints or Plans.</x:t>
  </x:si>
  <x:si>
    <x:t xml:space="preserve">Items are reusable building blocks. Blueprints group Items into meaningful units. Plans group Blueprints into structured journeys. ItemProducts are the commercial layer that sell and unlock Items, Blueprints, or Plans.</x:t>
  </x:si>
  <x:si>
    <x:t xml:space="preserve">## Purpose</x:t>
  </x:si>
  <x:si>
    <x:t xml:space="preserve">This workbook is not a patient record system.</x:t>
  </x:si>
  <x:si>
    <x:t xml:space="preserve">It is a reusable clinical blueprint system designed to support:</x:t>
  </x:si>
  <x:si>
    <x:t xml:space="preserve">* Clinical reasoning</x:t>
  </x:si>
  <x:si>
    <x:t xml:space="preserve">* Assessment workflows</x:t>
  </x:si>
  <x:si>
    <x:t xml:space="preserve">* Treatment workflows</x:t>
  </x:si>
  <x:si>
    <x:t xml:space="preserve">* Exercise prescription</x:t>
  </x:si>
  <x:si>
    <x:t xml:space="preserve">* Education delivery</x:t>
  </x:si>
  <x:si>
    <x:t xml:space="preserve">* Session documentation</x:t>
  </x:si>
  <x:si>
    <x:t xml:space="preserve">* Future automation and AI-assisted suggestions</x:t>
  </x:si>
  <x:si>
    <x:t xml:space="preserve">The goal is to build reusable clinical objects that can be assembled into plans, templates and session records.</x:t>
  </x:si>
  <x:si>
    <x:t xml:space="preserve">---</x:t>
  </x:si>
  <x:si>
    <x:t xml:space="preserve">## Core Philosophy</x:t>
  </x:si>
  <x:si>
    <x:t xml:space="preserve">A Blueprint is the smallest reusable clinical action.</x:t>
  </x:si>
  <x:si>
    <x:t xml:space="preserve">Examples:</x:t>
  </x:si>
  <x:si>
    <x:t xml:space="preserve">* Spurlings Test</x:t>
  </x:si>
  <x:si>
    <x:t xml:space="preserve">* Median Nerve Slider</x:t>
  </x:si>
  <x:si>
    <x:t xml:space="preserve">* Hip Lateral Distraction MWM</x:t>
  </x:si>
  <x:si>
    <x:t xml:space="preserve">* Sit To Stand Assessment</x:t>
  </x:si>
  <x:si>
    <x:t xml:space="preserve">* Pain Neuroscience Education</x:t>
  </x:si>
  <x:si>
    <x:t xml:space="preserve">Blueprints should be reusable and should never contain patient-specific information.</x:t>
  </x:si>
  <x:si>
    <x:t xml:space="preserve">## Blueprints Table</x:t>
  </x:si>
  <x:si>
    <x:t xml:space="preserve">Purpose:</x:t>
  </x:si>
  <x:si>
    <x:t xml:space="preserve">Stores individual clinical actions.</x:t>
  </x:si>
  <x:si>
    <x:t xml:space="preserve">A blueprint may be:</x:t>
  </x:si>
  <x:si>
    <x:t xml:space="preserve">* Test</x:t>
  </x:si>
  <x:si>
    <x:t xml:space="preserve">* Treatment</x:t>
  </x:si>
  <x:si>
    <x:t xml:space="preserve">* Exercise</x:t>
  </x:si>
  <x:si>
    <x:t xml:space="preserve">* Education</x:t>
  </x:si>
  <x:si>
    <x:t xml:space="preserve">* Functional Assessment</x:t>
  </x:si>
  <x:si>
    <x:t xml:space="preserve">* Outcome Measure</x:t>
  </x:si>
  <x:si>
    <x:t xml:space="preserve">Blueprints are the building blocks of the system.</x:t>
  </x:si>
  <x:si>
    <x:t xml:space="preserve">A blueprint should represent one thing only.</x:t>
  </x:si>
  <x:si>
    <x:t xml:space="preserve">## Blueprint Methods</x:t>
  </x:si>
  <x:si>
    <x:t xml:space="preserve">Stores instructions for performing a blueprint.</x:t>
  </x:si>
  <x:si>
    <x:t xml:space="preserve">* Test procedure</x:t>
  </x:si>
  <x:si>
    <x:t xml:space="preserve">* Treatment procedure</x:t>
  </x:si>
  <x:si>
    <x:t xml:space="preserve">* Exercise instructions</x:t>
  </x:si>
  <x:si>
    <x:t xml:space="preserve">A blueprint may have multiple method steps.</x:t>
  </x:si>
  <x:si>
    <x:t xml:space="preserve">## Blueprint Findings</x:t>
  </x:si>
  <x:si>
    <x:t xml:space="preserve">Stores possible findings and interpretations for a blueprint.</x:t>
  </x:si>
  <x:si>
    <x:t xml:space="preserve">* Positive</x:t>
  </x:si>
  <x:si>
    <x:t xml:space="preserve">* Negative</x:t>
  </x:si>
  <x:si>
    <x:t xml:space="preserve">* Reproduces familiar symptoms</x:t>
  </x:si>
  <x:si>
    <x:t xml:space="preserve">* Range restriction</x:t>
  </x:si>
  <x:si>
    <x:t xml:space="preserve">Findings are reusable and support future clinical reasoning and automation.</x:t>
  </x:si>
  <x:si>
    <x:t xml:space="preserve">## Blueprint Dosage</x:t>
  </x:si>
  <x:si>
    <x:t xml:space="preserve">Stores dosage information.</x:t>
  </x:si>
  <x:si>
    <x:t xml:space="preserve">* Sets</x:t>
  </x:si>
  <x:si>
    <x:t xml:space="preserve">* Reps</x:t>
  </x:si>
  <x:si>
    <x:t xml:space="preserve">* Duration</x:t>
  </x:si>
  <x:si>
    <x:t xml:space="preserve">* Frequency</x:t>
  </x:si>
  <x:si>
    <x:t xml:space="preserve">* Progression</x:t>
  </x:si>
  <x:si>
    <x:t xml:space="preserve">* Regression</x:t>
  </x:si>
  <x:si>
    <x:t xml:space="preserve">Used primarily for exercises and home programs.</x:t>
  </x:si>
  <x:si>
    <x:t xml:space="preserve">## Blueprint Neuro Details</x:t>
  </x:si>
  <x:si>
    <x:t xml:space="preserve">Stores neurodynamic-specific information.</x:t>
  </x:si>
  <x:si>
    <x:t xml:space="preserve">Used only when additional neurodynamic data is required.</x:t>
  </x:si>
  <x:si>
    <x:t xml:space="preserve">* Neural bias</x:t>
  </x:si>
  <x:si>
    <x:t xml:space="preserve">* Structural differentiation</x:t>
  </x:si>
  <x:si>
    <x:t xml:space="preserve">* Symptom rules</x:t>
  </x:si>
  <x:si>
    <x:t xml:space="preserve">Not all blueprints require a Neuro Details record.</x:t>
  </x:si>
  <x:si>
    <x:t xml:space="preserve">## Plan Templates</x:t>
  </x:si>
  <x:si>
    <x:t xml:space="preserve">Stores bundles of blueprints.</x:t>
  </x:si>
  <x:si>
    <x:t xml:space="preserve">Plan Templates are workflows, not individual clinical actions.</x:t>
  </x:si>
  <x:si>
    <x:t xml:space="preserve">* Cervical Assessment</x:t>
  </x:si>
  <x:si>
    <x:t xml:space="preserve">* Lumbar Reassessment</x:t>
  </x:si>
  <x:si>
    <x:t xml:space="preserve">* Shoulder Treatment Session</x:t>
  </x:si>
  <x:si>
    <x:t xml:space="preserve">* Upper Limb Neuro Screen</x:t>
  </x:si>
  <x:si>
    <x:t xml:space="preserve">* Cervical Radiculopathy Pathway</x:t>
  </x:si>
  <x:si>
    <x:t xml:space="preserve">A plan template contains multiple blueprint items.</x:t>
  </x:si>
  <x:si>
    <x:t xml:space="preserve">## Plan Template Items</x:t>
  </x:si>
  <x:si>
    <x:t xml:space="preserve">Links blueprints into a workflow.</x:t>
  </x:si>
  <x:si>
    <x:t xml:space="preserve">Cervical Assessment</x:t>
  </x:si>
  <x:si>
    <x:t xml:space="preserve">1. Cervical ROM</x:t>
  </x:si>
  <x:si>
    <x:t xml:space="preserve">2. Spurlings</x:t>
  </x:si>
  <x:si>
    <x:t xml:space="preserve">3. Median ULNT</x:t>
  </x:si>
  <x:si>
    <x:t xml:space="preserve">4. Myotomes</x:t>
  </x:si>
  <x:si>
    <x:t xml:space="preserve">5. Reflexes</x:t>
  </x:si>
  <x:si>
    <x:t xml:space="preserve">The plan template defines order and structure.</x:t>
  </x:si>
  <x:si>
    <x:t xml:space="preserve">## Session Logs</x:t>
  </x:si>
  <x:si>
    <x:t xml:space="preserve">Stores what happened during a specific patient encounter.</x:t>
  </x:si>
  <x:si>
    <x:t xml:space="preserve">Unlike blueprints, session logs are patient-specific.</x:t>
  </x:si>
  <x:si>
    <x:t xml:space="preserve">Session logs reference:</x:t>
  </x:si>
  <x:si>
    <x:t xml:space="preserve">* Plans</x:t>
  </x:si>
  <x:si>
    <x:t xml:space="preserve">* Blueprints</x:t>
  </x:si>
  <x:si>
    <x:t xml:space="preserve">* Findings</x:t>
  </x:si>
  <x:si>
    <x:t xml:space="preserve">* Notes</x:t>
  </x:si>
  <x:si>
    <x:t xml:space="preserve">Session logs are the clinical record.</x:t>
  </x:si>
  <x:si>
    <x:t xml:space="preserve">## Future Direction</x:t>
  </x:si>
  <x:si>
    <x:t xml:space="preserve">Future automation should use:</x:t>
  </x:si>
  <x:si>
    <x:t xml:space="preserve">Blueprints</x:t>
  </x:si>
  <x:si>
    <x:t xml:space="preserve">→ Plan Templates</x:t>
  </x:si>
  <x:si>
    <x:t xml:space="preserve">→ Session Logs</x:t>
  </x:si>
  <x:si>
    <x:t xml:space="preserve">and not create duplicate clinical objects.</x:t>
  </x:si>
  <x:si>
    <x:t xml:space="preserve">If new content is proposed, it should fit into the existing architecture before new tables are created.</x:t>
  </x:si>
  <x:si>
    <x:t xml:space="preserve">ProductPrice:</x:t>
  </x:si>
  <x:si>
    <x:t xml:space="preserve">PriceID</x:t>
  </x:si>
  <x:si>
    <x:t xml:space="preserve">Unique row id, e.g. PRICE-ITEM-EPSOM-500G.</x:t>
  </x:si>
  <x:si>
    <x:t xml:space="preserve">ItemProductID</x:t>
  </x:si>
  <x:si>
    <x:t xml:space="preserve">Links to ItemProduct.ItemProductID, e.g. ITEM-EPSOM-500G.</x:t>
  </x:si>
  <x:si>
    <x:t xml:space="preserve">Currency</x:t>
  </x:si>
  <x:si>
    <x:t xml:space="preserve">Use AUD.</x:t>
  </x:si>
  <x:si>
    <x:t xml:space="preserve">RetailPrice</x:t>
  </x:si>
  <x:si>
    <x:t xml:space="preserve">Normal customer-facing shop price.</x:t>
  </x:si>
  <x:si>
    <x:t xml:space="preserve">SalePrice</x:t>
  </x:si>
  <x:si>
    <x:t xml:space="preserve">Discounted customer-facing price, blank if not on sale.</x:t>
  </x:si>
  <x:si>
    <x:t xml:space="preserve">OnSale</x:t>
  </x:si>
  <x:si>
    <x:t xml:space="preserve">TRUE/FALSE.</x:t>
  </x:si>
  <x:si>
    <x:t xml:space="preserve">WholesaleCost</x:t>
  </x:si>
  <x:si>
    <x:t xml:space="preserve">Your product cost.</x:t>
  </x:si>
  <x:si>
    <x:t xml:space="preserve">GSTIncluded</x:t>
  </x:si>
  <x:si>
    <x:t xml:space="preserve">GSTAmount</x:t>
  </x:si>
  <x:si>
    <x:t xml:space="preserve">Formula.</x:t>
  </x:si>
  <x:si>
    <x:t xml:space="preserve">RetailPriceExGST</x:t>
  </x:si>
  <x:si>
    <x:t xml:space="preserve">GrossProfit</x:t>
  </x:si>
  <x:si>
    <x:t xml:space="preserve">GrossMarginPercent</x:t>
  </x:si>
  <x:si>
    <x:t xml:space="preserve">AffiliatePrice</x:t>
  </x:si>
  <x:si>
    <x:t xml:space="preserve">Optional special affiliate sale price, if you use one.</x:t>
  </x:si>
  <x:si>
    <x:t xml:space="preserve">AffiliateCommission</x:t>
  </x:si>
  <x:si>
    <x:t xml:space="preserve">Amount paid to affiliate.</x:t>
  </x:si>
  <x:si>
    <x:t xml:space="preserve">AffiliateProfit</x:t>
  </x:si>
  <x:si>
    <x:t xml:space="preserve">DonationAmount</x:t>
  </x:si>
  <x:si>
    <x:t xml:space="preserve">Formula or manual.</x:t>
  </x:si>
  <x:si>
    <x:t xml:space="preserve">PartnerShareAffiliate</x:t>
  </x:si>
  <x:si>
    <x:t xml:space="preserve">PartnerShareRetail</x:t>
  </x:si>
  <x:si>
    <x:t xml:space="preserve">EffectiveFrom / EffectiveTo</x:t>
  </x:si>
  <x:si>
    <x:t xml:space="preserve">Useful later if prices change.</x:t>
  </x:si>
  <x:si>
    <x:t xml:space="preserve">Status</x:t>
  </x:si>
  <x:si>
    <x:t xml:space="preserve">Active / Draft / Archived.</x:t>
  </x:si>
  <x:si>
    <x:t xml:space="preserve">Notes</x:t>
  </x:si>
  <x:si>
    <x:t xml:space="preserve">Internal pricing notes.</x:t>
  </x:si>
  <x:si>
    <x:t xml:space="preserve">"New test → add Blueprint + Methods + Findings"</x:t>
  </x:si>
  <x:si>
    <x:t xml:space="preserve">"New exercise → add Blueprint + Methods + Dosage"</x:t>
  </x:si>
  <x:si>
    <x:t xml:space="preserve">"New assessment bundle → add Plan Template + Plan Template Items"</x:t>
  </x:si>
  <x:si>
    <x:t xml:space="preserve">"New patient visit → create Session Log"</x:t>
  </x:si>
  <x:si>
    <x:t xml:space="preserve">How To Fill Out The ProductPrice Sheet</x:t>
  </x:si>
  <x:si>
    <x:t xml:space="preserve">Use this sheet to record the shop price, product cost, affiliate pricing, Stripe IDs, and pricing status for each product.</x:t>
  </x:si>
  <x:si>
    <x:t xml:space="preserve">Each row should belong to one product.</x:t>
  </x:si>
  <x:si>
    <x:t xml:space="preserve">Before You Start</x:t>
  </x:si>
  <x:si>
    <x:t xml:space="preserve">Make sure the product already exists in the ItemProduct sheet.</x:t>
  </x:si>
  <x:si>
    <x:t xml:space="preserve">Copy the product’s ItemProductID from ItemProduct into this sheet.</x:t>
  </x:si>
  <x:si>
    <x:t xml:space="preserve">Example:</x:t>
  </x:si>
  <x:si>
    <x:t xml:space="preserve">ITEM-TRIGGER-BALL-6CM</x:t>
  </x:si>
  <x:si>
    <x:t xml:space="preserve">Fields To Fill In</x:t>
  </x:si>
  <x:si>
    <x:t xml:space="preserve">Fill in these columns only:</x:t>
  </x:si>
  <x:si>
    <x:t xml:space="preserve">StripeProductID</x:t>
  </x:si>
  <x:si>
    <x:t xml:space="preserve">StripePriceID</x:t>
  </x:si>
  <x:si>
    <x:t xml:space="preserve">EffectiveFrom</x:t>
  </x:si>
  <x:si>
    <x:t xml:space="preserve">EffectiveTo</x:t>
  </x:si>
  <x:si>
    <x:t xml:space="preserve">Do not edit formula columns.</x:t>
  </x:si>
  <x:si>
    <x:t xml:space="preserve">Column Guide</x:t>
  </x:si>
  <x:si>
    <x:t xml:space="preserve">The product this price belongs to. Must match an ItemProductID from the ItemProduct sheet.</x:t>
  </x:si>
  <x:si>
    <x:t xml:space="preserve">The normal customer price shown in the shop.</x:t>
  </x:si>
  <x:si>
    <x:t xml:space="preserve">The discounted price, only if the product is on sale. Leave blank if there is no sale.</x:t>
  </x:si>
  <x:si>
    <x:t xml:space="preserve">Use Yes or No.</x:t>
  </x:si>
  <x:si>
    <x:t xml:space="preserve">If Yes, the shop will use the SalePrice.</x:t>
  </x:si>
  <x:si>
    <x:t xml:space="preserve">If No, the shop will use the RetailPrice.</x:t>
  </x:si>
  <x:si>
    <x:t xml:space="preserve">The cost to buy or produce the item.</x:t>
  </x:si>
  <x:si>
    <x:t xml:space="preserve">Use Yes if the retail price includes GST.</x:t>
  </x:si>
  <x:si>
    <x:t xml:space="preserve">The price used for affiliate calculations, if applicable.</x:t>
  </x:si>
  <x:si>
    <x:t xml:space="preserve">The amount paid to the affiliate.</x:t>
  </x:si>
  <x:si>
    <x:t xml:space="preserve">The Stripe product ID for this item.</x:t>
  </x:si>
  <x:si>
    <x:t xml:space="preserve">The Stripe price ID for this specific price.</x:t>
  </x:si>
  <x:si>
    <x:t xml:space="preserve">If the product price changes in Stripe, this usually changes too.</x:t>
  </x:si>
  <x:si>
    <x:t xml:space="preserve">The date this price starts.</x:t>
  </x:si>
  <x:si>
    <x:t xml:space="preserve">The date this price ends. Leave blank for the current active price.</x:t>
  </x:si>
  <x:si>
    <x:t xml:space="preserve">Use one of:</x:t>
  </x:si>
  <x:si>
    <x:t xml:space="preserve">Active</x:t>
  </x:si>
  <x:si>
    <x:t xml:space="preserve">Draft</x:t>
  </x:si>
  <x:si>
    <x:t xml:space="preserve">Archived</x:t>
  </x:si>
  <x:si>
    <x:t xml:space="preserve">Only one row per product should be marked Active.</x:t>
  </x:si>
  <x:si>
    <x:t xml:space="preserve">Normal Price Example</x:t>
  </x:si>
  <x:si>
    <x:t xml:space="preserve">ItemProductID: ITEM-TRIGGER-BALL-6CM</x:t>
  </x:si>
  <x:si>
    <x:t xml:space="preserve">RetailPrice: 15</x:t>
  </x:si>
  <x:si>
    <x:t xml:space="preserve">SalePrice:</x:t>
  </x:si>
  <x:si>
    <x:t xml:space="preserve">OnSale: No</x:t>
  </x:si>
  <x:si>
    <x:t xml:space="preserve">WholesaleCost: 9.22</x:t>
  </x:si>
  <x:si>
    <x:t xml:space="preserve">GSTIncluded: Yes</x:t>
  </x:si>
  <x:si>
    <x:t xml:space="preserve">AffiliatePrice: 12</x:t>
  </x:si>
  <x:si>
    <x:t xml:space="preserve">AffiliateCommission: 3</x:t>
  </x:si>
  <x:si>
    <x:t xml:space="preserve">Status: Active</x:t>
  </x:si>
  <x:si>
    <x:t xml:space="preserve">Sale Price Example</x:t>
  </x:si>
  <x:si>
    <x:t xml:space="preserve">ItemProductID: ITEM-MCT-BALM-01</x:t>
  </x:si>
  <x:si>
    <x:t xml:space="preserve">RetailPrice: 32</x:t>
  </x:si>
  <x:si>
    <x:t xml:space="preserve">SalePrice: 25</x:t>
  </x:si>
  <x:si>
    <x:t xml:space="preserve">OnSale: Yes</x:t>
  </x:si>
  <x:si>
    <x:t xml:space="preserve">WholesaleCost: 11.23</x:t>
  </x:si>
  <x:si>
    <x:t xml:space="preserve">AffiliatePrice: 25.60</x:t>
  </x:si>
  <x:si>
    <x:t xml:space="preserve">AffiliateCommission: 6.40</x:t>
  </x:si>
  <x:si>
    <x:t xml:space="preserve">When A Price Changes</x:t>
  </x:si>
  <x:si>
    <x:t xml:space="preserve">Do not overwrite the old active price.</x:t>
  </x:si>
  <x:si>
    <x:t xml:space="preserve">Instead:</x:t>
  </x:si>
  <x:si>
    <x:t xml:space="preserve">Change the old row to:</x:t>
  </x:si>
  <x:si>
    <x:t xml:space="preserve">Status: Archived</x:t>
  </x:si>
  <x:si>
    <x:t xml:space="preserve">EffectiveTo: the date the old price ended</x:t>
  </x:si>
  <x:si>
    <x:t xml:space="preserve">Add a new row for the same ItemProductID.</x:t>
  </x:si>
  <x:si>
    <x:t xml:space="preserve">Enter the new price.</x:t>
  </x:si>
  <x:si>
    <x:t xml:space="preserve">Set:</x:t>
  </x:si>
  <x:si>
    <x:t xml:space="preserve">EffectiveFrom: the date the new price starts</x:t>
  </x:si>
  <x:si>
    <x:t xml:space="preserve">Rules</x:t>
  </x:si>
  <x:si>
    <x:t xml:space="preserve">Every row must have an ItemProductID.</x:t>
  </x:si>
  <x:si>
    <x:t xml:space="preserve">Only one price row per product can be Active.</x:t>
  </x:si>
  <x:si>
    <x:t xml:space="preserve">Leave SalePrice blank if the product is not on sale.</x:t>
  </x:si>
  <x:si>
    <x:t xml:space="preserve">Use OnSale = Yes only when there is a real sale price.</x:t>
  </x:si>
  <x:si>
    <x:t xml:space="preserve">Keep Stripe IDs in this sheet because they belong to the product’s price.</x:t>
  </x:si>
  <x:si>
    <x:t xml:space="preserve">AnatomyID</x:t>
  </x:si>
  <x:si>
    <x:t xml:space="preserve">Abbreviations</x:t>
  </x:si>
  <x:si>
    <x:t xml:space="preserve">FullTerm</x:t>
  </x:si>
  <x:si>
    <x:t xml:space="preserve">RegionID</x:t>
  </x:si>
  <x:si>
    <x:t xml:space="preserve">ANAT-ACJ</x:t>
  </x:si>
  <x:si>
    <x:t xml:space="preserve">ACJ</x:t>
  </x:si>
  <x:si>
    <x:t xml:space="preserve">Acromioclavicular Joint</x:t>
  </x:si>
  <x:si>
    <x:t xml:space="preserve">Shoulder</x:t>
  </x:si>
  <x:si>
    <x:t xml:space="preserve">ANAT-ANK</x:t>
  </x:si>
  <x:si>
    <x:t xml:space="preserve">Ank</x:t>
  </x:si>
  <x:si>
    <x:t xml:space="preserve">Ankle</x:t>
  </x:si>
  <x:si>
    <x:t xml:space="preserve">Lower Limb</x:t>
  </x:si>
  <x:si>
    <x:t xml:space="preserve">ANAT-CAL</x:t>
  </x:si>
  <x:si>
    <x:t xml:space="preserve">Cal</x:t>
  </x:si>
  <x:si>
    <x:t xml:space="preserve">Calcaneum</x:t>
  </x:si>
  <x:si>
    <x:t xml:space="preserve">Foot</x:t>
  </x:si>
  <x:si>
    <x:t xml:space="preserve">ANAT-CV</x:t>
  </x:si>
  <x:si>
    <x:t xml:space="preserve">CV</x:t>
  </x:si>
  <x:si>
    <x:t xml:space="preserve">Costovertebral Joint</x:t>
  </x:si>
  <x:si>
    <x:t xml:space="preserve">Thoracic</x:t>
  </x:si>
  <x:si>
    <x:t xml:space="preserve">ANAT-CX</x:t>
  </x:si>
  <x:si>
    <x:t xml:space="preserve">Cx</x:t>
  </x:si>
  <x:si>
    <x:t xml:space="preserve">Cervical Spine</x:t>
  </x:si>
  <x:si>
    <x:t xml:space="preserve">Spine</x:t>
  </x:si>
  <x:si>
    <x:t xml:space="preserve">ANAT-C3</x:t>
  </x:si>
  <x:si>
    <x:t xml:space="preserve">C3</x:t>
  </x:si>
  <x:si>
    <x:t xml:space="preserve">Cervical Spine 3rd Vertebra</x:t>
  </x:si>
  <x:si>
    <x:t xml:space="preserve">ANAT-ELB</x:t>
  </x:si>
  <x:si>
    <x:t xml:space="preserve">Elb</x:t>
  </x:si>
  <x:si>
    <x:t xml:space="preserve">Elbow</x:t>
  </x:si>
  <x:si>
    <x:t xml:space="preserve">Upper Limb</x:t>
  </x:si>
  <x:si>
    <x:t xml:space="preserve">ANAT-FIB</x:t>
  </x:si>
  <x:si>
    <x:t xml:space="preserve">Fib</x:t>
  </x:si>
  <x:si>
    <x:t xml:space="preserve">Fibula</x:t>
  </x:si>
  <x:si>
    <x:t xml:space="preserve">ANAT-FRA</x:t>
  </x:si>
  <x:si>
    <x:t xml:space="preserve">Fra</x:t>
  </x:si>
  <x:si>
    <x:t xml:space="preserve">Forearm</x:t>
  </x:si>
  <x:si>
    <x:t xml:space="preserve">ANAT-GASTROC</x:t>
  </x:si>
  <x:si>
    <x:t xml:space="preserve">Gastroc</x:t>
  </x:si>
  <x:si>
    <x:t xml:space="preserve">Gastrocnemius</x:t>
  </x:si>
  <x:si>
    <x:t xml:space="preserve">ANAT-GH</x:t>
  </x:si>
  <x:si>
    <x:t xml:space="preserve">GH</x:t>
  </x:si>
  <x:si>
    <x:t xml:space="preserve">Glenohumeral</x:t>
  </x:si>
  <x:si>
    <x:t xml:space="preserve">ANAT-KN</x:t>
  </x:si>
  <x:si>
    <x:t xml:space="preserve">Kn</x:t>
  </x:si>
  <x:si>
    <x:t xml:space="preserve">Knee</x:t>
  </x:si>
  <x:si>
    <x:t xml:space="preserve">ANAT-INN</x:t>
  </x:si>
  <x:si>
    <x:t xml:space="preserve">Inn</x:t>
  </x:si>
  <x:si>
    <x:t xml:space="preserve">Innominate</x:t>
  </x:si>
  <x:si>
    <x:t xml:space="preserve">Pelvis</x:t>
  </x:si>
  <x:si>
    <x:t xml:space="preserve">ANAT-L5</x:t>
  </x:si>
  <x:si>
    <x:t xml:space="preserve">L5</x:t>
  </x:si>
  <x:si>
    <x:t xml:space="preserve">Lumbar Spine 5th Vertebra</x:t>
  </x:si>
  <x:si>
    <x:t xml:space="preserve">ANAT-MC</x:t>
  </x:si>
  <x:si>
    <x:t xml:space="preserve">MC</x:t>
  </x:si>
  <x:si>
    <x:t xml:space="preserve">Metacarpal</x:t>
  </x:si>
  <x:si>
    <x:t xml:space="preserve">Hand</x:t>
  </x:si>
  <x:si>
    <x:t xml:space="preserve">ANAT-MCP</x:t>
  </x:si>
  <x:si>
    <x:t xml:space="preserve">MCP</x:t>
  </x:si>
  <x:si>
    <x:t xml:space="preserve">Metacarpophalangeal Joint</x:t>
  </x:si>
  <x:si>
    <x:t xml:space="preserve">ANAT-MT</x:t>
  </x:si>
  <x:si>
    <x:t xml:space="preserve">MT</x:t>
  </x:si>
  <x:si>
    <x:t xml:space="preserve">Metatarsal</x:t>
  </x:si>
  <x:si>
    <x:t xml:space="preserve">ANAT-MTP</x:t>
  </x:si>
  <x:si>
    <x:t xml:space="preserve">MTP</x:t>
  </x:si>
  <x:si>
    <x:t xml:space="preserve">Metatarsophalangeal Joint</x:t>
  </x:si>
  <x:si>
    <x:t xml:space="preserve">ANAT-PFJ</x:t>
  </x:si>
  <x:si>
    <x:t xml:space="preserve">PFJ</x:t>
  </x:si>
  <x:si>
    <x:t xml:space="preserve">Patellofemoral Joint</x:t>
  </x:si>
  <x:si>
    <x:t xml:space="preserve">ANAT-PIP</x:t>
  </x:si>
  <x:si>
    <x:t xml:space="preserve">PIP</x:t>
  </x:si>
  <x:si>
    <x:t xml:space="preserve">Proximal Interphalangeal Joint</x:t>
  </x:si>
  <x:si>
    <x:t xml:space="preserve">ANAT-PS</x:t>
  </x:si>
  <x:si>
    <x:t xml:space="preserve">PS</x:t>
  </x:si>
  <x:si>
    <x:t xml:space="preserve">Pubic Symphysis</x:t>
  </x:si>
  <x:si>
    <x:t xml:space="preserve">ANAT-RUJ</x:t>
  </x:si>
  <x:si>
    <x:t xml:space="preserve">RUJ</x:t>
  </x:si>
  <x:si>
    <x:t xml:space="preserve">Radio-Ulnar Joint</x:t>
  </x:si>
  <x:si>
    <x:t xml:space="preserve">ANAT-SCJ</x:t>
  </x:si>
  <x:si>
    <x:t xml:space="preserve">SCJ</x:t>
  </x:si>
  <x:si>
    <x:t xml:space="preserve">Sternoclavicular Joint</x:t>
  </x:si>
  <x:si>
    <x:t xml:space="preserve">ANAT-SH</x:t>
  </x:si>
  <x:si>
    <x:t xml:space="preserve">Sh</x:t>
  </x:si>
  <x:si>
    <x:t xml:space="preserve">ANAT-SIJ</x:t>
  </x:si>
  <x:si>
    <x:t xml:space="preserve">SIJ</x:t>
  </x:si>
  <x:si>
    <x:t xml:space="preserve">Sacroiliac Joint</x:t>
  </x:si>
  <x:si>
    <x:t xml:space="preserve">ANAT-SX</x:t>
  </x:si>
  <x:si>
    <x:t xml:space="preserve">Sx</x:t>
  </x:si>
  <x:si>
    <x:t xml:space="preserve">Sacrum</x:t>
  </x:si>
  <x:si>
    <x:t xml:space="preserve">ANAT-TS</x:t>
  </x:si>
  <x:si>
    <x:t xml:space="preserve">TS</x:t>
  </x:si>
  <x:si>
    <x:t xml:space="preserve">Thoracic Spine</x:t>
  </x:si>
  <x:si>
    <x:t xml:space="preserve">ANAT-T4</x:t>
  </x:si>
  <x:si>
    <x:t xml:space="preserve">T4</x:t>
  </x:si>
  <x:si>
    <x:t xml:space="preserve">Thoracic Spine 4th Vertebra</x:t>
  </x:si>
  <x:si>
    <x:t xml:space="preserve">ANAT-TIB</x:t>
  </x:si>
  <x:si>
    <x:t xml:space="preserve">Tib</x:t>
  </x:si>
  <x:si>
    <x:t xml:space="preserve">Tibia</x:t>
  </x:si>
  <x:si>
    <x:t xml:space="preserve">ANAT-WR</x:t>
  </x:si>
  <x:si>
    <x:t xml:space="preserve">Wr</x:t>
  </x:si>
  <x:si>
    <x:t xml:space="preserve">Wrist</x:t>
  </x:si>
  <x:si>
    <x:t xml:space="preserve">ANAT-N-TRIGEMINAL</x:t>
  </x:si>
  <x:si>
    <x:t xml:space="preserve">CN V</x:t>
  </x:si>
  <x:si>
    <x:t xml:space="preserve">Trigeminal Nerve</x:t>
  </x:si>
  <x:si>
    <x:t xml:space="preserve">Cranial/Cervical</x:t>
  </x:si>
  <x:si>
    <x:t xml:space="preserve">ANAT-N-GON</x:t>
  </x:si>
  <x:si>
    <x:t xml:space="preserve">GON</x:t>
  </x:si>
  <x:si>
    <x:t xml:space="preserve">Greater Occipital Nerve</x:t>
  </x:si>
  <x:si>
    <x:t xml:space="preserve">Cervical</x:t>
  </x:si>
  <x:si>
    <x:t xml:space="preserve">ANAT-N-ACCESSORY</x:t>
  </x:si>
  <x:si>
    <x:t xml:space="preserve">CN XI</x:t>
  </x:si>
  <x:si>
    <x:t xml:space="preserve">Accessory Nerve</x:t>
  </x:si>
  <x:si>
    <x:t xml:space="preserve">Cervical/Shoulder</x:t>
  </x:si>
  <x:si>
    <x:t xml:space="preserve">ANAT-N-BRACHIAL-PLEXUS</x:t>
  </x:si>
  <x:si>
    <x:t xml:space="preserve">BP</x:t>
  </x:si>
  <x:si>
    <x:t xml:space="preserve">Brachial Plexus</x:t>
  </x:si>
  <x:si>
    <x:t xml:space="preserve">Cervical/Upper Limb</x:t>
  </x:si>
  <x:si>
    <x:t xml:space="preserve">ANAT-N-RADIAL</x:t>
  </x:si>
  <x:si>
    <x:t xml:space="preserve">Rad N</x:t>
  </x:si>
  <x:si>
    <x:t xml:space="preserve">Radial Nerve</x:t>
  </x:si>
  <x:si>
    <x:t xml:space="preserve">ANAT-N-AXILLARY</x:t>
  </x:si>
  <x:si>
    <x:t xml:space="preserve">Ax N</x:t>
  </x:si>
  <x:si>
    <x:t xml:space="preserve">Axillary Nerve</x:t>
  </x:si>
  <x:si>
    <x:t xml:space="preserve">ANAT-N-MEDIAN</x:t>
  </x:si>
  <x:si>
    <x:t xml:space="preserve">Med N</x:t>
  </x:si>
  <x:si>
    <x:t xml:space="preserve">Median Nerve</x:t>
  </x:si>
  <x:si>
    <x:t xml:space="preserve">ANAT-N-ULNAR</x:t>
  </x:si>
  <x:si>
    <x:t xml:space="preserve">Uln N</x:t>
  </x:si>
  <x:si>
    <x:t xml:space="preserve">Ulnar Nerve</x:t>
  </x:si>
  <x:si>
    <x:t xml:space="preserve">ANAT-N-SUPRASCAPULAR</x:t>
  </x:si>
  <x:si>
    <x:t xml:space="preserve">SSN</x:t>
  </x:si>
  <x:si>
    <x:t xml:space="preserve">Suprascapular Nerve</x:t>
  </x:si>
  <x:si>
    <x:t xml:space="preserve">ANAT-N-SCIATIC</x:t>
  </x:si>
  <x:si>
    <x:t xml:space="preserve">Sci N</x:t>
  </x:si>
  <x:si>
    <x:t xml:space="preserve">Sciatic Nerve</x:t>
  </x:si>
  <x:si>
    <x:t xml:space="preserve">ANAT-N-TIBIAL</x:t>
  </x:si>
  <x:si>
    <x:t xml:space="preserve">Tib N</x:t>
  </x:si>
  <x:si>
    <x:t xml:space="preserve">Tibial Nerve</x:t>
  </x:si>
  <x:si>
    <x:t xml:space="preserve">ANAT-N-PERONEAL</x:t>
  </x:si>
  <x:si>
    <x:t xml:space="preserve">Per N</x:t>
  </x:si>
  <x:si>
    <x:t xml:space="preserve">Peroneal Nerve</x:t>
  </x:si>
  <x:si>
    <x:t xml:space="preserve">ANAT-N-SURAL</x:t>
  </x:si>
  <x:si>
    <x:t xml:space="preserve">Sural N</x:t>
  </x:si>
  <x:si>
    <x:t xml:space="preserve">Sural Nerve</x:t>
  </x:si>
  <x:si>
    <x:t xml:space="preserve">ANAT-N-FEMORAL</x:t>
  </x:si>
  <x:si>
    <x:t xml:space="preserve">Fem N</x:t>
  </x:si>
  <x:si>
    <x:t xml:space="preserve">Femoral Nerve</x:t>
  </x:si>
  <x:si>
    <x:t xml:space="preserve">ANAT-N-LATCUT-FEM</x:t>
  </x:si>
  <x:si>
    <x:t xml:space="preserve">LCFN</x:t>
  </x:si>
  <x:si>
    <x:t xml:space="preserve">Lateral Cutaneous Femoral Nerve</x:t>
  </x:si>
  <x:si>
    <x:t xml:space="preserve">Hip/Thigh</x:t>
  </x:si>
  <x:si>
    <x:t xml:space="preserve">ANAT-N-SAPHENOUS</x:t>
  </x:si>
  <x:si>
    <x:t xml:space="preserve">Saph N</x:t>
  </x:si>
  <x:si>
    <x:t xml:space="preserve">Saphenous Nerve</x:t>
  </x:si>
  <x:si>
    <x:t xml:space="preserve">ANAT-N-OBTURATOR</x:t>
  </x:si>
  <x:si>
    <x:t xml:space="preserve">Obt N</x:t>
  </x:si>
  <x:si>
    <x:t xml:space="preserve">Obturator Nerve</x:t>
  </x:si>
  <x:si>
    <x:t xml:space="preserve">Region</x:t>
  </x:si>
  <x:si>
    <x:t xml:space="preserve">Abreviations</x:t>
  </x:si>
  <x:si>
    <x:t xml:space="preserve">REG-HAM-01</x:t>
  </x:si>
  <x:si>
    <x:t xml:space="preserve">Hamstring</x:t>
  </x:si>
  <x:si>
    <x:t xml:space="preserve">HS</x:t>
  </x:si>
  <x:si>
    <x:t xml:space="preserve">REG-LUMBAR</x:t>
  </x:si>
  <x:si>
    <x:t xml:space="preserve">Lumbar</x:t>
  </x:si>
  <x:si>
    <x:t xml:space="preserve">Lx</x:t>
  </x:si>
  <x:si>
    <x:t xml:space="preserve">REG-CERVICAL</x:t>
  </x:si>
  <x:si>
    <x:t xml:space="preserve">REG-SHOULDER</x:t>
  </x:si>
  <x:si>
    <x:t xml:space="preserve">SH</x:t>
  </x:si>
  <x:si>
    <x:t xml:space="preserve">REG-LOWER</x:t>
  </x:si>
  <x:si>
    <x:t xml:space="preserve">LL</x:t>
  </x:si>
  <x:si>
    <x:t xml:space="preserve">REG-THORACIC</x:t>
  </x:si>
  <x:si>
    <x:t xml:space="preserve">Tx</x:t>
  </x:si>
  <x:si>
    <x:t xml:space="preserve">REG-HIP</x:t>
  </x:si>
  <x:si>
    <x:t xml:space="preserve">Hip</x:t>
  </x:si>
  <x:si>
    <x:t xml:space="preserve">REG-KNEE</x:t>
  </x:si>
  <x:si>
    <x:t xml:space="preserve">TissueID</x:t>
  </x:si>
  <x:si>
    <x:t xml:space="preserve">Tissue Type</x:t>
  </x:si>
  <x:si>
    <x:t xml:space="preserve">TISS-001</x:t>
  </x:si>
  <x:si>
    <x:t xml:space="preserve">Muscle</x:t>
  </x:si>
  <x:si>
    <x:t xml:space="preserve">m.</x:t>
  </x:si>
  <x:si>
    <x:t xml:space="preserve">TISS-002</x:t>
  </x:si>
  <x:si>
    <x:t xml:space="preserve">tendon</x:t>
  </x:si>
  <x:si>
    <x:t xml:space="preserve">T.</x:t>
  </x:si>
  <x:si>
    <x:t xml:space="preserve">TISS-003</x:t>
  </x:si>
  <x:si>
    <x:t xml:space="preserve">joint</x:t>
  </x:si>
  <x:si>
    <x:t xml:space="preserve">Jt.</x:t>
  </x:si>
  <x:si>
    <x:t xml:space="preserve">TISS-004</x:t>
  </x:si>
  <x:si>
    <x:t xml:space="preserve">ligament</x:t>
  </x:si>
  <x:si>
    <x:t xml:space="preserve">L.</x:t>
  </x:si>
  <x:si>
    <x:t xml:space="preserve">TISS-005</x:t>
  </x:si>
  <x:si>
    <x:t xml:space="preserve">nerve</x:t>
  </x:si>
  <x:si>
    <x:t xml:space="preserve">N.</x:t>
  </x:si>
  <x:si>
    <x:t xml:space="preserve">TISS-006</x:t>
  </x:si>
  <x:si>
    <x:t xml:space="preserve">post-surgical</x:t>
  </x:si>
  <x:si>
    <x:t xml:space="preserve">Post-op</x:t>
  </x:si>
  <x:si>
    <x:t xml:space="preserve">TISS-007</x:t>
  </x:si>
  <x:si>
    <x:t xml:space="preserve">systemic</x:t>
  </x:si>
  <x:si>
    <x:t xml:space="preserve">syst.</x:t>
  </x:si>
  <x:si>
    <x:t xml:space="preserve">TISS-008</x:t>
  </x:si>
  <x:si>
    <x:t xml:space="preserve">referral pattern</x:t>
  </x:si>
  <x:si>
    <x:t xml:space="preserve">referral pattern.</x:t>
  </x:si>
  <x:si>
    <x:t xml:space="preserve">ConditionID</x:t>
  </x:si>
  <x:si>
    <x:t xml:space="preserve">Condition</x:t>
  </x:si>
  <x:si>
    <x:t xml:space="preserve">CommonPresentation</x:t>
  </x:si>
  <x:si>
    <x:t xml:space="preserve">MechanismOfInjury</x:t>
  </x:si>
  <x:si>
    <x:t xml:space="preserve">ClinicalNotes</x:t>
  </x:si>
  <x:si>
    <x:t xml:space="preserve">DefaultPathwayID</x:t>
  </x:si>
  <x:si>
    <x:t xml:space="preserve">Tags</x:t>
  </x:si>
  <x:si>
    <x:t xml:space="preserve">COND-HST</x:t>
  </x:si>
  <x:si>
    <x:t xml:space="preserve">Hamstring Tear</x:t>
  </x:si>
  <x:si>
    <x:t xml:space="preserve">Lower limb</x:t>
  </x:si>
  <x:si>
    <x:t xml:space="preserve">PATH-HST-01</x:t>
  </x:si>
  <x:si>
    <x:t xml:space="preserve">FlagID</x:t>
  </x:si>
  <x:si>
    <x:t xml:space="preserve">Flag Name</x:t>
  </x:si>
  <x:si>
    <x:t xml:space="preserve">Body Region</x:t>
  </x:si>
  <x:si>
    <x:t xml:space="preserve">Question Or Finding</x:t>
  </x:si>
  <x:si>
    <x:t xml:space="preserve">Colour</x:t>
  </x:si>
  <x:si>
    <x:t xml:space="preserve">WhyItMatters</x:t>
  </x:si>
  <x:si>
    <x:t xml:space="preserve">ActionRequired</x:t>
  </x:si>
  <x:si>
    <x:t xml:space="preserve">Urgency</x:t>
  </x:si>
  <x:si>
    <x:t xml:space="preserve">ReferralType</x:t>
  </x:si>
  <x:si>
    <x:t xml:space="preserve">FLAG-001</x:t>
  </x:si>
  <x:si>
    <x:t xml:space="preserve">Excessive Bruising</x:t>
  </x:si>
  <x:si>
    <x:t xml:space="preserve">Red</x:t>
  </x:si>
  <x:si>
    <x:t xml:space="preserve">Monitor</x:t>
  </x:si>
  <x:si>
    <x:t xml:space="preserve">FLAG-002</x:t>
  </x:si>
  <x:si>
    <x:t xml:space="preserve">Unexplained Dizziness</x:t>
  </x:si>
  <x:si>
    <x:t xml:space="preserve">refer GP</x:t>
  </x:si>
  <x:si>
    <x:t xml:space="preserve">FLAG-003</x:t>
  </x:si>
  <x:si>
    <x:t xml:space="preserve">Multiple Practitioners</x:t>
  </x:si>
  <x:si>
    <x:t xml:space="preserve">Yellow</x:t>
  </x:si>
  <x:si>
    <x:t xml:space="preserve">urgent medical review</x:t>
  </x:si>
  <x:si>
    <x:t xml:space="preserve">emergency</x:t>
  </x:si>
  <x:si>
    <x:t xml:space="preserve">PhaseID</x:t>
  </x:si>
  <x:si>
    <x:t xml:space="preserve">PhaseName</x:t>
  </x:si>
  <x:si>
    <x:t xml:space="preserve">WeekRange</x:t>
  </x:si>
  <x:si>
    <x:t xml:space="preserve">TissueHealingFocus</x:t>
  </x:si>
  <x:si>
    <x:t xml:space="preserve">MainClinicalGoal</x:t>
  </x:si>
  <x:si>
    <x:t xml:space="preserve">WhatToAvoid</x:t>
  </x:si>
  <x:si>
    <x:t xml:space="preserve">SuitableTreatmentTypes</x:t>
  </x:si>
  <x:si>
    <x:t xml:space="preserve">SuitableExerciseTypes</x:t>
  </x:si>
  <x:si>
    <x:t xml:space="preserve">ProgressionFocus</x:t>
  </x:si>
  <x:si>
    <x:t xml:space="preserve">PHASE-001</x:t>
  </x:si>
  <x:si>
    <x:t xml:space="preserve">Acute</x:t>
  </x:si>
  <x:si>
    <x:t xml:space="preserve">PHASE-002</x:t>
  </x:si>
  <x:si>
    <x:t xml:space="preserve">Early Proliferation</x:t>
  </x:si>
  <x:si>
    <x:t xml:space="preserve">PHASE-003</x:t>
  </x:si>
  <x:si>
    <x:t xml:space="preserve">Remodeling</x:t>
  </x:si>
  <x:si>
    <x:t xml:space="preserve">PHASE-004</x:t>
  </x:si>
  <x:si>
    <x:t xml:space="preserve">Return to Load</x:t>
  </x:si>
  <x:si>
    <x:t xml:space="preserve">PHASE-005</x:t>
  </x:si>
  <x:si>
    <x:t xml:space="preserve">Maintenance</x:t>
  </x:si>
  <x:si>
    <x:t xml:space="preserve">PHASE-006</x:t>
  </x:si>
  <x:si>
    <x:t xml:space="preserve">Chronic</x:t>
  </x:si>
  <x:si>
    <x:t xml:space="preserve">TimingID</x:t>
  </x:si>
  <x:si>
    <x:t xml:space="preserve">Description</x:t>
  </x:si>
  <x:si>
    <x:t xml:space="preserve">TIME-WEEK-01</x:t>
  </x:si>
  <x:si>
    <x:t xml:space="preserve">1 Week</x:t>
  </x:si>
  <x:si>
    <x:t xml:space="preserve">1/52</x:t>
  </x:si>
  <x:si>
    <x:t xml:space="preserve">TIME-MONTH-01</x:t>
  </x:si>
  <x:si>
    <x:t xml:space="preserve">1 Month</x:t>
  </x:si>
  <x:si>
    <x:t xml:space="preserve">TIME-WEEK-06</x:t>
  </x:si>
  <x:si>
    <x:t xml:space="preserve">6 Weeks</x:t>
  </x:si>
  <x:si>
    <x:t xml:space="preserve">6/52</x:t>
  </x:si>
  <x:si>
    <x:t xml:space="preserve">TIME-MONTH-06</x:t>
  </x:si>
  <x:si>
    <x:t xml:space="preserve">6 Months</x:t>
  </x:si>
  <x:si>
    <x:t xml:space="preserve">TIME-WEEK-02</x:t>
  </x:si>
  <x:si>
    <x:t xml:space="preserve">2 Weeks</x:t>
  </x:si>
  <x:si>
    <x:t xml:space="preserve">2/52</x:t>
  </x:si>
  <x:si>
    <x:t xml:space="preserve">PositionID</x:t>
  </x:si>
  <x:si>
    <x:t xml:space="preserve">Short</x:t>
  </x:si>
  <x:si>
    <x:t xml:space="preserve">POS-PRLY</x:t>
  </x:si>
  <x:si>
    <x:t xml:space="preserve">pr ly</x:t>
  </x:si>
  <x:si>
    <x:t xml:space="preserve">Prone Lying</x:t>
  </x:si>
  <x:si>
    <x:t xml:space="preserve">POS-SIT</x:t>
  </x:si>
  <x:si>
    <x:t xml:space="preserve">sit</x:t>
  </x:si>
  <x:si>
    <x:t xml:space="preserve">Sitting</x:t>
  </x:si>
  <x:si>
    <x:t xml:space="preserve">POS-SLY</x:t>
  </x:si>
  <x:si>
    <x:t xml:space="preserve">s ly</x:t>
  </x:si>
  <x:si>
    <x:t xml:space="preserve">Side Lying</x:t>
  </x:si>
  <x:si>
    <x:t xml:space="preserve">POS-ST</x:t>
  </x:si>
  <x:si>
    <x:t xml:space="preserve">st</x:t>
  </x:si>
  <x:si>
    <x:t xml:space="preserve">Standing</x:t>
  </x:si>
  <x:si>
    <x:t xml:space="preserve">POS-SUPLY</x:t>
  </x:si>
  <x:si>
    <x:t xml:space="preserve">sup ly</x:t>
  </x:si>
  <x:si>
    <x:t xml:space="preserve">Supine Lying</x:t>
  </x:si>
  <x:si>
    <x:t xml:space="preserve">POS-WB</x:t>
  </x:si>
  <x:si>
    <x:t xml:space="preserve">WB</x:t>
  </x:si>
  <x:si>
    <x:t xml:space="preserve">Weight Bearing</x:t>
  </x:si>
  <x:si>
    <x:t xml:space="preserve">MovementID</x:t>
  </x:si>
  <x:si>
    <x:t xml:space="preserve">MOV-AB</x:t>
  </x:si>
  <x:si>
    <x:t xml:space="preserve">Ab</x:t>
  </x:si>
  <x:si>
    <x:t xml:space="preserve">Abduction</x:t>
  </x:si>
  <x:si>
    <x:t xml:space="preserve">MOV-AD</x:t>
  </x:si>
  <x:si>
    <x:t xml:space="preserve">Ad</x:t>
  </x:si>
  <x:si>
    <x:t xml:space="preserve">Adduction</x:t>
  </x:si>
  <x:si>
    <x:t xml:space="preserve">MOV-DEV</x:t>
  </x:si>
  <x:si>
    <x:t xml:space="preserve">Dev</x:t>
  </x:si>
  <x:si>
    <x:t xml:space="preserve">Deviation</x:t>
  </x:si>
  <x:si>
    <x:t xml:space="preserve">MOV-DF</x:t>
  </x:si>
  <x:si>
    <x:t xml:space="preserve">DF</x:t>
  </x:si>
  <x:si>
    <x:t xml:space="preserve">Dorsiflexion</x:t>
  </x:si>
  <x:si>
    <x:t xml:space="preserve">MOV-DFS</x:t>
  </x:si>
  <x:si>
    <x:t xml:space="preserve">DFS</x:t>
  </x:si>
  <x:si>
    <x:t xml:space="preserve">Dorsiflexion In Standing</x:t>
  </x:si>
  <x:si>
    <x:t xml:space="preserve">MOV-EIL</x:t>
  </x:si>
  <x:si>
    <x:t xml:space="preserve">EIL</x:t>
  </x:si>
  <x:si>
    <x:t xml:space="preserve">Extension In Lying</x:t>
  </x:si>
  <x:si>
    <x:t xml:space="preserve">MOV-EIR</x:t>
  </x:si>
  <x:si>
    <x:t xml:space="preserve">EIR</x:t>
  </x:si>
  <x:si>
    <x:t xml:space="preserve">Elevation In Rotation</x:t>
  </x:si>
  <x:si>
    <x:t xml:space="preserve">MOV-ER</x:t>
  </x:si>
  <x:si>
    <x:t xml:space="preserve">ER</x:t>
  </x:si>
  <x:si>
    <x:t xml:space="preserve">External Rotation</x:t>
  </x:si>
  <x:si>
    <x:t xml:space="preserve">MOV-EV</x:t>
  </x:si>
  <x:si>
    <x:t xml:space="preserve">Ev</x:t>
  </x:si>
  <x:si>
    <x:t xml:space="preserve">Eversion</x:t>
  </x:si>
  <x:si>
    <x:t xml:space="preserve">MOV-E</x:t>
  </x:si>
  <x:si>
    <x:t xml:space="preserve">E</x:t>
  </x:si>
  <x:si>
    <x:t xml:space="preserve">Extension</x:t>
  </x:si>
  <x:si>
    <x:t xml:space="preserve">MOV-F</x:t>
  </x:si>
  <x:si>
    <x:t xml:space="preserve">F</x:t>
  </x:si>
  <x:si>
    <x:t xml:space="preserve">Flexion</x:t>
  </x:si>
  <x:si>
    <x:t xml:space="preserve">MOV-HBB</x:t>
  </x:si>
  <x:si>
    <x:t xml:space="preserve">HBB</x:t>
  </x:si>
  <x:si>
    <x:t xml:space="preserve">Hand Behind Back</x:t>
  </x:si>
  <x:si>
    <x:t xml:space="preserve">MOV-HF</x:t>
  </x:si>
  <x:si>
    <x:t xml:space="preserve">HF</x:t>
  </x:si>
  <x:si>
    <x:t xml:space="preserve">Horizontal Flexion</x:t>
  </x:si>
  <x:si>
    <x:t xml:space="preserve">MOV-HE</x:t>
  </x:si>
  <x:si>
    <x:t xml:space="preserve">HE</x:t>
  </x:si>
  <x:si>
    <x:t xml:space="preserve">Horizontal Extension</x:t>
  </x:si>
  <x:si>
    <x:t xml:space="preserve">MOV-IR</x:t>
  </x:si>
  <x:si>
    <x:t xml:space="preserve">IR</x:t>
  </x:si>
  <x:si>
    <x:t xml:space="preserve">Internal Rotation</x:t>
  </x:si>
  <x:si>
    <x:t xml:space="preserve">MOV-INV</x:t>
  </x:si>
  <x:si>
    <x:t xml:space="preserve">Inv</x:t>
  </x:si>
  <x:si>
    <x:t xml:space="preserve">Inversion</x:t>
  </x:si>
  <x:si>
    <x:t xml:space="preserve">MOV-LF</x:t>
  </x:si>
  <x:si>
    <x:t xml:space="preserve">LF</x:t>
  </x:si>
  <x:si>
    <x:t xml:space="preserve">Lateral Flexion</x:t>
  </x:si>
  <x:si>
    <x:t xml:space="preserve">MOV-OPP</x:t>
  </x:si>
  <x:si>
    <x:t xml:space="preserve">Opp</x:t>
  </x:si>
  <x:si>
    <x:t xml:space="preserve">Opposition</x:t>
  </x:si>
  <x:si>
    <x:t xml:space="preserve">MOV-PF</x:t>
  </x:si>
  <x:si>
    <x:t xml:space="preserve">PF</x:t>
  </x:si>
  <x:si>
    <x:t xml:space="preserve">Plantarflexion</x:t>
  </x:si>
  <x:si>
    <x:t xml:space="preserve">MOV-PRON</x:t>
  </x:si>
  <x:si>
    <x:t xml:space="preserve">Pron</x:t>
  </x:si>
  <x:si>
    <x:t xml:space="preserve">Pronation</x:t>
  </x:si>
  <x:si>
    <x:t xml:space="preserve">MOV-PKB</x:t>
  </x:si>
  <x:si>
    <x:t xml:space="preserve">PKB</x:t>
  </x:si>
  <x:si>
    <x:t xml:space="preserve">Prone Knee Bend</x:t>
  </x:si>
  <x:si>
    <x:t xml:space="preserve">MOV-ROT</x:t>
  </x:si>
  <x:si>
    <x:t xml:space="preserve">Rot</x:t>
  </x:si>
  <x:si>
    <x:t xml:space="preserve">Rotation</x:t>
  </x:si>
  <x:si>
    <x:t xml:space="preserve">MOV-SKB</x:t>
  </x:si>
  <x:si>
    <x:t xml:space="preserve">SKB</x:t>
  </x:si>
  <x:si>
    <x:t xml:space="preserve">Small Knee Bend</x:t>
  </x:si>
  <x:si>
    <x:t xml:space="preserve">MOV-SUPIN</x:t>
  </x:si>
  <x:si>
    <x:t xml:space="preserve">Supin</x:t>
  </x:si>
  <x:si>
    <x:t xml:space="preserve">Supination</x:t>
  </x:si>
  <x:si>
    <x:t xml:space="preserve">GlideID</x:t>
  </x:si>
  <x:si>
    <x:t xml:space="preserve">GLIDE-AP</x:t>
  </x:si>
  <x:si>
    <x:t xml:space="preserve">AP</x:t>
  </x:si>
  <x:si>
    <x:t xml:space="preserve">Anteroposterior</x:t>
  </x:si>
  <x:si>
    <x:t xml:space="preserve">GLIDE-ANT</x:t>
  </x:si>
  <x:si>
    <x:t xml:space="preserve">Ant</x:t>
  </x:si>
  <x:si>
    <x:t xml:space="preserve">Anterior</x:t>
  </x:si>
  <x:si>
    <x:t xml:space="preserve">GLIDE-COMP</x:t>
  </x:si>
  <x:si>
    <x:t xml:space="preserve">Comp</x:t>
  </x:si>
  <x:si>
    <x:t xml:space="preserve">Compression</x:t>
  </x:si>
  <x:si>
    <x:t xml:space="preserve">GLIDE-DIST</x:t>
  </x:si>
  <x:si>
    <x:t xml:space="preserve">Dist</x:t>
  </x:si>
  <x:si>
    <x:t xml:space="preserve">Distraction</x:t>
  </x:si>
  <x:si>
    <x:t xml:space="preserve">GLIDE-INF</x:t>
  </x:si>
  <x:si>
    <x:t xml:space="preserve">Inf</x:t>
  </x:si>
  <x:si>
    <x:t xml:space="preserve">Inferior</x:t>
  </x:si>
  <x:si>
    <x:t xml:space="preserve">GLIDE-LAT</x:t>
  </x:si>
  <x:si>
    <x:t xml:space="preserve">Lat</x:t>
  </x:si>
  <x:si>
    <x:t xml:space="preserve">Lateral</x:t>
  </x:si>
  <x:si>
    <x:t xml:space="preserve">GLIDE-MED</x:t>
  </x:si>
  <x:si>
    <x:t xml:space="preserve">Med</x:t>
  </x:si>
  <x:si>
    <x:t xml:space="preserve">Medial</x:t>
  </x:si>
  <x:si>
    <x:t xml:space="preserve">GLIDE-PA</x:t>
  </x:si>
  <x:si>
    <x:t xml:space="preserve">PA</x:t>
  </x:si>
  <x:si>
    <x:t xml:space="preserve">Posteroanterior</x:t>
  </x:si>
  <x:si>
    <x:t xml:space="preserve">GLIDE-POST</x:t>
  </x:si>
  <x:si>
    <x:t xml:space="preserve">Post</x:t>
  </x:si>
  <x:si>
    <x:t xml:space="preserve">Posterior</x:t>
  </x:si>
  <x:si>
    <x:t xml:space="preserve">GLIDE-PROX</x:t>
  </x:si>
  <x:si>
    <x:t xml:space="preserve">Prox</x:t>
  </x:si>
  <x:si>
    <x:t xml:space="preserve">Proximal</x:t>
  </x:si>
  <x:si>
    <x:t xml:space="preserve">GLIDE-SUP</x:t>
  </x:si>
  <x:si>
    <x:t xml:space="preserve">Sup</x:t>
  </x:si>
  <x:si>
    <x:t xml:space="preserve">Superior</x:t>
  </x:si>
  <x:si>
    <x:t xml:space="preserve">TechniqueID</x:t>
  </x:si>
  <x:si>
    <x:t xml:space="preserve">TECH-BLR</x:t>
  </x:si>
  <x:si>
    <x:t xml:space="preserve">BLR</x:t>
  </x:si>
  <x:si>
    <x:t xml:space="preserve">Bent Leg Raise</x:t>
  </x:si>
  <x:si>
    <x:t xml:space="preserve">TECH-HASNAG</x:t>
  </x:si>
  <x:si>
    <x:t xml:space="preserve">HA SNAG</x:t>
  </x:si>
  <x:si>
    <x:t xml:space="preserve">Headache Sustained Natural Apophyseal Glide</x:t>
  </x:si>
  <x:si>
    <x:t xml:space="preserve">TECH-MWM</x:t>
  </x:si>
  <x:si>
    <x:t xml:space="preserve">MWM</x:t>
  </x:si>
  <x:si>
    <x:t xml:space="preserve">Mobilisation With Movement</x:t>
  </x:si>
  <x:si>
    <x:t xml:space="preserve">TECH-NAG</x:t>
  </x:si>
  <x:si>
    <x:t xml:space="preserve">NAG</x:t>
  </x:si>
  <x:si>
    <x:t xml:space="preserve">Natural Apophyseal Glide</x:t>
  </x:si>
  <x:si>
    <x:t xml:space="preserve">TECH-REVNAG</x:t>
  </x:si>
  <x:si>
    <x:t xml:space="preserve">Rev NAG</x:t>
  </x:si>
  <x:si>
    <x:t xml:space="preserve">Reverse Natural Apophyseal Glide</x:t>
  </x:si>
  <x:si>
    <x:t xml:space="preserve">TECH-REVHASNAG</x:t>
  </x:si>
  <x:si>
    <x:t xml:space="preserve">Rev HA SNAG</x:t>
  </x:si>
  <x:si>
    <x:t xml:space="preserve">Reverse Headache Sustained Natural Apophyseal Glide</x:t>
  </x:si>
  <x:si>
    <x:t xml:space="preserve">TECH-SMWAM</x:t>
  </x:si>
  <x:si>
    <x:t xml:space="preserve">SMWAM</x:t>
  </x:si>
  <x:si>
    <x:t xml:space="preserve">Spinal Mobilisation With Arm Movement</x:t>
  </x:si>
  <x:si>
    <x:t xml:space="preserve">TECH-SMWLM</x:t>
  </x:si>
  <x:si>
    <x:t xml:space="preserve">SMWLM</x:t>
  </x:si>
  <x:si>
    <x:t xml:space="preserve">Spinal Mobilisation With Leg Movement</x:t>
  </x:si>
  <x:si>
    <x:t xml:space="preserve">TECH-SNAG</x:t>
  </x:si>
  <x:si>
    <x:t xml:space="preserve">SNAG</x:t>
  </x:si>
  <x:si>
    <x:t xml:space="preserve">Sustained Natural Apophyseal Glide</x:t>
  </x:si>
  <x:si>
    <x:t xml:space="preserve">TECH-TRSLR</x:t>
  </x:si>
  <x:si>
    <x:t xml:space="preserve">Tr SLR</x:t>
  </x:si>
  <x:si>
    <x:t xml:space="preserve">Traction Straight Leg Raise</x:t>
  </x:si>
  <x:si>
    <x:t xml:space="preserve">TECH-TRANSSNAG</x:t>
  </x:si>
  <x:si>
    <x:t xml:space="preserve">Trans SNAG</x:t>
  </x:si>
  <x:si>
    <x:t xml:space="preserve">Transverse Sustained Natural Apophyseal Glide</x:t>
  </x:si>
  <x:si>
    <x:t xml:space="preserve">AbbreviationID</x:t>
  </x:si>
  <x:si>
    <x:t xml:space="preserve">Abbreviation</x:t>
  </x:si>
  <x:si>
    <x:t xml:space="preserve">Category</x:t>
  </x:si>
  <x:si>
    <x:t xml:space="preserve">SOAPSection</x:t>
  </x:si>
  <x:si>
    <x:t xml:space="preserve">CommonPhrase</x:t>
  </x:si>
  <x:si>
    <x:t xml:space="preserve">PatientFriendlyTerm</x:t>
  </x:si>
  <x:si>
    <x:t xml:space="preserve">Active?</x:t>
  </x:si>
  <x:si>
    <x:t xml:space="preserve">ABBR-001</x:t>
  </x:si>
  <x:si>
    <x:t xml:space="preserve">ROM</x:t>
  </x:si>
  <x:si>
    <x:t xml:space="preserve">Range of Movement</x:t>
  </x:si>
  <x:si>
    <x:t xml:space="preserve">Objective</x:t>
  </x:si>
  <x:si>
    <x:t xml:space="preserve">O</x:t>
  </x:si>
  <x:si>
    <x:t xml:space="preserve">General movement assessment</x:t>
  </x:si>
  <x:si>
    <x:t xml:space="preserve">Yes</x:t>
  </x:si>
  <x:si>
    <x:t xml:space="preserve">ABBR-002</x:t>
  </x:si>
  <x:si>
    <x:t xml:space="preserve">OP</x:t>
  </x:si>
  <x:si>
    <x:t xml:space="preserve">Over Pressure</x:t>
  </x:si>
  <x:si>
    <x:t xml:space="preserve">End range assessment</x:t>
  </x:si>
  <x:si>
    <x:t xml:space="preserve">ABBR-003</x:t>
  </x:si>
  <x:si>
    <x:t xml:space="preserve">AMI</x:t>
  </x:si>
  <x:si>
    <x:t xml:space="preserve">Arthrogenic Muscle Inhibition</x:t>
  </x:si>
  <x:si>
    <x:t xml:space="preserve">Assessment</x:t>
  </x:si>
  <x:si>
    <x:t xml:space="preserve">A</x:t>
  </x:si>
  <x:si>
    <x:t xml:space="preserve">Common post-op inhibition</x:t>
  </x:si>
  <x:si>
    <x:t xml:space="preserve">ABBR-004</x:t>
  </x:si>
  <x:si>
    <x:t xml:space="preserve">L/R</x:t>
  </x:si>
  <x:si>
    <x:t xml:space="preserve">Left / Right</x:t>
  </x:si>
  <x:si>
    <x:t xml:space="preserve">General</x:t>
  </x:si>
  <x:si>
    <x:t xml:space="preserve">Multi</x:t>
  </x:si>
  <x:si>
    <x:t xml:space="preserve">Side comparison</x:t>
  </x:si>
  <x:si>
    <x:t xml:space="preserve">ABBR-005</x:t>
  </x:si>
  <x:si>
    <x:t xml:space="preserve">TTP</x:t>
  </x:si>
  <x:si>
    <x:t xml:space="preserve">Tender to Palpation</x:t>
  </x:si>
  <x:si>
    <x:t xml:space="preserve">Palpation findings</x:t>
  </x:si>
  <x:si>
    <x:t xml:space="preserve">ABBR-006</x:t>
  </x:si>
  <x:si>
    <x:t xml:space="preserve">HEP</x:t>
  </x:si>
  <x:si>
    <x:t xml:space="preserve">Home Exercise Program</x:t>
  </x:si>
  <x:si>
    <x:t xml:space="preserve">Plan</x:t>
  </x:si>
  <x:si>
    <x:t xml:space="preserve">P</x:t>
  </x:si>
  <x:si>
    <x:t xml:space="preserve">Exercise prescription</x:t>
  </x:si>
  <x:si>
    <x:t xml:space="preserve">ABBR-007</x:t>
  </x:si>
  <x:si>
    <x:t xml:space="preserve">WNL</x:t>
  </x:si>
  <x:si>
    <x:t xml:space="preserve">Within Normal Limits</x:t>
  </x:si>
  <x:si>
    <x:t xml:space="preserve">Normal findings</x:t>
  </x:si>
  <x:si>
    <x:t xml:space="preserve">ABBR-008</x:t>
  </x:si>
  <x:si>
    <x:t xml:space="preserve">c/o</x:t>
  </x:si>
  <x:si>
    <x:t xml:space="preserve">Complains Of</x:t>
  </x:si>
  <x:si>
    <x:t xml:space="preserve">Subjective</x:t>
  </x:si>
  <x:si>
    <x:t xml:space="preserve">S</x:t>
  </x:si>
  <x:si>
    <x:t xml:space="preserve">Subjective reporting</x:t>
  </x:si>
  <x:si>
    <x:t xml:space="preserve">ABBR-009</x:t>
  </x:si>
  <x:si>
    <x:t xml:space="preserve">↑</x:t>
  </x:si>
  <x:si>
    <x:t xml:space="preserve">Increased</x:t>
  </x:si>
  <x:si>
    <x:t xml:space="preserve">Directional change</x:t>
  </x:si>
  <x:si>
    <x:t xml:space="preserve">ABBR-010</x:t>
  </x:si>
  <x:si>
    <x:t xml:space="preserve">↓</x:t>
  </x:si>
  <x:si>
    <x:t xml:space="preserve">Decreased</x:t>
  </x:si>
  <x:si>
    <x:t xml:space="preserve">ABBR-SEC</x:t>
  </x:si>
  <x:si>
    <x:t xml:space="preserve">sec</x:t>
  </x:si>
  <x:si>
    <x:t xml:space="preserve">Seconds</x:t>
  </x:si>
  <x:si>
    <x:t xml:space="preserve">ABBR-MIN</x:t>
  </x:si>
  <x:si>
    <x:t xml:space="preserve">min</x:t>
  </x:si>
  <x:si>
    <x:t xml:space="preserve">Minutes</x:t>
  </x:si>
  <x:si>
    <x:t xml:space="preserve">ABBR-PLUSA</x:t>
  </x:si>
  <x:si>
    <x:t xml:space="preserve">With Assistant</x:t>
  </x:si>
  <x:si>
    <x:t xml:space="preserve">Treatment</x:t>
  </x:si>
  <x:si>
    <x:t xml:space="preserve">ABBR-PLUS2A</x:t>
  </x:si>
  <x:si>
    <x:t xml:space="preserve">With 2 Assistants</x:t>
  </x:si>
  <x:si>
    <x:t xml:space="preserve">ABBR-BILAT</x:t>
  </x:si>
  <x:si>
    <x:t xml:space="preserve">Bilat</x:t>
  </x:si>
  <x:si>
    <x:t xml:space="preserve">Bilateral</x:t>
  </x:si>
  <x:si>
    <x:t xml:space="preserve">Both sides</x:t>
  </x:si>
  <x:si>
    <x:t xml:space="preserve">ABBR-UNILAT</x:t>
  </x:si>
  <x:si>
    <x:t xml:space="preserve">Unilat</x:t>
  </x:si>
  <x:si>
    <x:t xml:space="preserve">Unilateral</x:t>
  </x:si>
  <x:si>
    <x:t xml:space="preserve">One Side</x:t>
  </x:si>
  <x:si>
    <x:t xml:space="preserve">ABBR-RES</x:t>
  </x:si>
  <x:si>
    <x:t xml:space="preserve">Res</x:t>
  </x:si>
  <x:si>
    <x:t xml:space="preserve">Resistance</x:t>
  </x:si>
  <x:si>
    <x:t xml:space="preserve">BlueprintTemplateID</x:t>
  </x:si>
  <x:si>
    <x:t xml:space="preserve">TemplateName</x:t>
  </x:si>
  <x:si>
    <x:t xml:space="preserve">BlueprintType</x:t>
  </x:si>
  <x:si>
    <x:t xml:space="preserve">CreatedByUserID</x:t>
  </x:si>
  <x:si>
    <x:t xml:space="preserve">OwnerType</x:t>
  </x:si>
  <x:si>
    <x:t xml:space="preserve">OwnerID</x:t>
  </x:si>
  <x:si>
    <x:t xml:space="preserve">Visibility</x:t>
  </x:si>
  <x:si>
    <x:t xml:space="preserve">ApprovalStatus</x:t>
  </x:si>
  <x:si>
    <x:t xml:space="preserve">IsMasterTemplate</x:t>
  </x:si>
  <x:si>
    <x:t xml:space="preserve">CanBeCopied</x:t>
  </x:si>
  <x:si>
    <x:t xml:space="preserve">Version</x:t>
  </x:si>
  <x:si>
    <x:t xml:space="preserve">BT-EX-HOWTO</x:t>
  </x:si>
  <x:si>
    <x:t xml:space="preserve">Exercise How-To</x:t>
  </x:si>
  <x:si>
    <x:t xml:space="preserve">Recovery Activity</x:t>
  </x:si>
  <x:si>
    <x:t xml:space="preserve">Standard exercise instruction template</x:t>
  </x:si>
  <x:si>
    <x:t xml:space="preserve">USER-001</x:t>
  </x:si>
  <x:si>
    <x:t xml:space="preserve">Recovery Tools / Therapist / Clinic</x:t>
  </x:si>
  <x:si>
    <x:t xml:space="preserve">RECOVERYTOOLS</x:t>
  </x:si>
  <x:si>
    <x:t xml:space="preserve">Private / Clinic / Marketplace / Public</x:t>
  </x:si>
  <x:si>
    <x:t xml:space="preserve">Draft / Pending Review / Approved / Archived</x:t>
  </x:si>
  <x:si>
    <x:t xml:space="preserve">FieldID</x:t>
  </x:si>
  <x:si>
    <x:t xml:space="preserve">FieldName</x:t>
  </x:si>
  <x:si>
    <x:t xml:space="preserve">FieldType</x:t>
  </x:si>
  <x:si>
    <x:t xml:space="preserve">LinkedTable</x:t>
  </x:si>
  <x:si>
    <x:t xml:space="preserve">Required</x:t>
  </x:si>
  <x:si>
    <x:t xml:space="preserve">Repeatable</x:t>
  </x:si>
  <x:si>
    <x:t xml:space="preserve">MinEntries</x:t>
  </x:si>
  <x:si>
    <x:t xml:space="preserve">MaxEntries</x:t>
  </x:si>
  <x:si>
    <x:t xml:space="preserve">AllowUnlimited</x:t>
  </x:si>
  <x:si>
    <x:t xml:space="preserve">SortOrder</x:t>
  </x:si>
  <x:si>
    <x:t xml:space="preserve">Image</x:t>
  </x:si>
  <x:si>
    <x:t xml:space="preserve">Linked Item List</x:t>
  </x:si>
  <x:si>
    <x:t xml:space="preserve">Items</x:t>
  </x:si>
  <x:si>
    <x:t xml:space="preserve">Purpose</x:t>
  </x:si>
  <x:si>
    <x:t xml:space="preserve">Long Text</x:t>
  </x:si>
  <x:si>
    <x:t xml:space="preserve">BTF-EX-001</x:t>
  </x:si>
  <x:si>
    <x:t xml:space="preserve">Equipment Needed</x:t>
  </x:si>
  <x:si>
    <x:t xml:space="preserve">Starting Position</x:t>
  </x:si>
  <x:si>
    <x:t xml:space="preserve">Movement Instructions</x:t>
  </x:si>
  <x:si>
    <x:t xml:space="preserve">Common Mistakes</x:t>
  </x:si>
  <x:si>
    <x:t xml:space="preserve">Progressions</x:t>
  </x:si>
  <x:si>
    <x:t xml:space="preserve">Linked Blueprint List</x:t>
  </x:si>
  <x:si>
    <x:t xml:space="preserve">Regressions</x:t>
  </x:si>
  <x:si>
    <x:t xml:space="preserve">Contraindications</x:t>
  </x:si>
  <x:si>
    <x:t xml:space="preserve">Therapist Notes</x:t>
  </x:si>
  <x:si>
    <x:t xml:space="preserve">Client Explanation</x:t>
  </x:si>
  <x:si>
    <x:t xml:space="preserve">BlueprintID</x:t>
  </x:si>
  <x:si>
    <x:t xml:space="preserve">CLIN-BLUE-ART-001</x:t>
  </x:si>
  <x:si>
    <x:t xml:space="preserve">BLUE-ART-001</x:t>
  </x:si>
  <x:si>
    <x:t xml:space="preserve">Optional</x:t>
  </x:si>
  <x:si>
    <x:t xml:space="preserve">CLIN-BLUE-TEST-001</x:t>
  </x:si>
  <x:si>
    <x:t xml:space="preserve">BLUE-TEST-001</x:t>
  </x:si>
  <x:si>
    <x:t xml:space="preserve">CLIN-BLUE-TEST-002</x:t>
  </x:si>
  <x:si>
    <x:t xml:space="preserve">BLUE-TEST-002</x:t>
  </x:si>
  <x:si>
    <x:t xml:space="preserve">CLIN-BLUE-TEST-003</x:t>
  </x:si>
  <x:si>
    <x:t xml:space="preserve">BLUE-TEST-003</x:t>
  </x:si>
  <x:si>
    <x:t xml:space="preserve">CLIN-BLUE-TREAT-001</x:t>
  </x:si>
  <x:si>
    <x:t xml:space="preserve">BLUE-TREAT-001</x:t>
  </x:si>
  <x:si>
    <x:t xml:space="preserve">CLIN-BLUE-ART-002</x:t>
  </x:si>
  <x:si>
    <x:t xml:space="preserve">BLUE-ART-002</x:t>
  </x:si>
  <x:si>
    <x:t xml:space="preserve">CLIN-BLUE-CLEDU-001</x:t>
  </x:si>
  <x:si>
    <x:t xml:space="preserve">BLUE-CLEDU-001</x:t>
  </x:si>
  <x:si>
    <x:t xml:space="preserve">CLIN-BLUE-ART-TRA-001</x:t>
  </x:si>
  <x:si>
    <x:t xml:space="preserve">BLUE-ART-TRA-001</x:t>
  </x:si>
  <x:si>
    <x:t xml:space="preserve">CLIN-BLUE-ART-ROLL-001</x:t>
  </x:si>
  <x:si>
    <x:t xml:space="preserve">BLUE-ART-ROLL-001</x:t>
  </x:si>
  <x:si>
    <x:t xml:space="preserve">CLIN-BLUE-ART-CHOP-001</x:t>
  </x:si>
  <x:si>
    <x:t xml:space="preserve">BLUE-ART-CHOP-001</x:t>
  </x:si>
  <x:si>
    <x:t xml:space="preserve">CLIN-BLUE-ART-BAL-001</x:t>
  </x:si>
  <x:si>
    <x:t xml:space="preserve">BLUE-ART-BAL-001</x:t>
  </x:si>
  <x:si>
    <x:t xml:space="preserve">CLIN-BLUE-ART-VEST-001</x:t>
  </x:si>
  <x:si>
    <x:t xml:space="preserve">BLUE-ART-VEST-001</x:t>
  </x:si>
  <x:si>
    <x:t xml:space="preserve">CLIN-BLUE-ART-LUM-001</x:t>
  </x:si>
  <x:si>
    <x:t xml:space="preserve">BLUE-ART-LUM-001</x:t>
  </x:si>
  <x:si>
    <x:t xml:space="preserve">CLIN-BLUE-ART-CX-001</x:t>
  </x:si>
  <x:si>
    <x:t xml:space="preserve">BLUE-ART-CX-001</x:t>
  </x:si>
  <x:si>
    <x:t xml:space="preserve">CLIN-BLUE-ART-SP-001</x:t>
  </x:si>
  <x:si>
    <x:t xml:space="preserve">BLUE-ART-SP-001</x:t>
  </x:si>
  <x:si>
    <x:t xml:space="preserve">CLIN-BLUE-ART-SP-002</x:t>
  </x:si>
  <x:si>
    <x:t xml:space="preserve">BLUE-ART-SP-002</x:t>
  </x:si>
  <x:si>
    <x:t xml:space="preserve">CLIN-BLUE-ART-HIP-001</x:t>
  </x:si>
  <x:si>
    <x:t xml:space="preserve">BLUE-ART-HIP-001</x:t>
  </x:si>
  <x:si>
    <x:t xml:space="preserve">CLIN-BLUE-ART-RC-001</x:t>
  </x:si>
  <x:si>
    <x:t xml:space="preserve">BLUE-ART-RC-001</x:t>
  </x:si>
  <x:si>
    <x:t xml:space="preserve">CLIN-BLUE-ART-SA-001</x:t>
  </x:si>
  <x:si>
    <x:t xml:space="preserve">BLUE-ART-SA-001</x:t>
  </x:si>
  <x:si>
    <x:t xml:space="preserve">CLIN-BLUE-TEST-CX-004</x:t>
  </x:si>
  <x:si>
    <x:t xml:space="preserve">BLUE-TEST-CX-004</x:t>
  </x:si>
  <x:si>
    <x:t xml:space="preserve">CLIN-BLUE-TEST-CX-005</x:t>
  </x:si>
  <x:si>
    <x:t xml:space="preserve">BLUE-TEST-CX-005</x:t>
  </x:si>
  <x:si>
    <x:t xml:space="preserve">CLIN-BLUE-TEST-CX-006</x:t>
  </x:si>
  <x:si>
    <x:t xml:space="preserve">BLUE-TEST-CX-006</x:t>
  </x:si>
  <x:si>
    <x:t xml:space="preserve">CLIN-BLUE-TEST-TX-001</x:t>
  </x:si>
  <x:si>
    <x:t xml:space="preserve">BLUE-TEST-TX-001</x:t>
  </x:si>
  <x:si>
    <x:t xml:space="preserve">CLIN-BLUE-TREAT-CX-002</x:t>
  </x:si>
  <x:si>
    <x:t xml:space="preserve">BLUE-TREAT-CX-002</x:t>
  </x:si>
  <x:si>
    <x:t xml:space="preserve">CLIN-BLUE-TREAT-CX-003</x:t>
  </x:si>
  <x:si>
    <x:t xml:space="preserve">BLUE-TREAT-CX-003</x:t>
  </x:si>
  <x:si>
    <x:t xml:space="preserve">CLIN-BLUE-TREAT-TX-001</x:t>
  </x:si>
  <x:si>
    <x:t xml:space="preserve">BLUE-TREAT-TX-001</x:t>
  </x:si>
  <x:si>
    <x:t xml:space="preserve">CLIN-BLUE-TREAT-HIP-001</x:t>
  </x:si>
  <x:si>
    <x:t xml:space="preserve">BLUE-TREAT-HIP-001</x:t>
  </x:si>
  <x:si>
    <x:t xml:space="preserve">CLIN-BLUE-TREAT-CX-004</x:t>
  </x:si>
  <x:si>
    <x:t xml:space="preserve">BLUE-TREAT-CX-004</x:t>
  </x:si>
  <x:si>
    <x:t xml:space="preserve">CLIN-BLUE-TREAT-TX-002</x:t>
  </x:si>
  <x:si>
    <x:t xml:space="preserve">BLUE-TREAT-TX-002</x:t>
  </x:si>
  <x:si>
    <x:t xml:space="preserve">CLIN-BLUE-TEST-NEURO-001</x:t>
  </x:si>
  <x:si>
    <x:t xml:space="preserve">BLUE-TEST-NEURO-001</x:t>
  </x:si>
  <x:si>
    <x:t xml:space="preserve">CLIN-BLUE-TEST-NEURO-002</x:t>
  </x:si>
  <x:si>
    <x:t xml:space="preserve">BLUE-TEST-NEURO-002</x:t>
  </x:si>
  <x:si>
    <x:t xml:space="preserve">CLIN-BLUE-TEST-NEURO-003</x:t>
  </x:si>
  <x:si>
    <x:t xml:space="preserve">BLUE-TEST-NEURO-003</x:t>
  </x:si>
  <x:si>
    <x:t xml:space="preserve">CLIN-BLUE-TEST-NEURO-004</x:t>
  </x:si>
  <x:si>
    <x:t xml:space="preserve">BLUE-TEST-NEURO-004</x:t>
  </x:si>
  <x:si>
    <x:t xml:space="preserve">CLIN-BLUE-TEST-NEURO-005</x:t>
  </x:si>
  <x:si>
    <x:t xml:space="preserve">BLUE-TEST-NEURO-005</x:t>
  </x:si>
  <x:si>
    <x:t xml:space="preserve">CLIN-BLUE-TEST-NEURO-006</x:t>
  </x:si>
  <x:si>
    <x:t xml:space="preserve">BLUE-TEST-NEURO-006</x:t>
  </x:si>
  <x:si>
    <x:t xml:space="preserve">CLIN-BLUE-TEST-NEURO-007</x:t>
  </x:si>
  <x:si>
    <x:t xml:space="preserve">BLUE-TEST-NEURO-007</x:t>
  </x:si>
  <x:si>
    <x:t xml:space="preserve">CLIN-BLUE-TEST-NEURO-008</x:t>
  </x:si>
  <x:si>
    <x:t xml:space="preserve">BLUE-TEST-NEURO-008</x:t>
  </x:si>
  <x:si>
    <x:t xml:space="preserve">CLIN-BLUE-TEST-NEURO-009</x:t>
  </x:si>
  <x:si>
    <x:t xml:space="preserve">BLUE-TEST-NEURO-009</x:t>
  </x:si>
  <x:si>
    <x:t xml:space="preserve">CLIN-BLUE-TEST-NEURO-010</x:t>
  </x:si>
  <x:si>
    <x:t xml:space="preserve">BLUE-TEST-NEURO-010</x:t>
  </x:si>
  <x:si>
    <x:t xml:space="preserve">CLIN-BLUE-TEST-NEURO-011</x:t>
  </x:si>
  <x:si>
    <x:t xml:space="preserve">BLUE-TEST-NEURO-011</x:t>
  </x:si>
  <x:si>
    <x:t xml:space="preserve">CLIN-BLUE-TEST-NEURO-012</x:t>
  </x:si>
  <x:si>
    <x:t xml:space="preserve">BLUE-TEST-NEURO-012</x:t>
  </x:si>
  <x:si>
    <x:t xml:space="preserve">CLIN-BLUE-TEST-NEURO-013</x:t>
  </x:si>
  <x:si>
    <x:t xml:space="preserve">BLUE-TEST-NEURO-013</x:t>
  </x:si>
  <x:si>
    <x:t xml:space="preserve">CLIN-BLUE-TEST-NEURO-014</x:t>
  </x:si>
  <x:si>
    <x:t xml:space="preserve">BLUE-TEST-NEURO-014</x:t>
  </x:si>
  <x:si>
    <x:t xml:space="preserve">CLIN-BLUE-TEST-NEURO-015</x:t>
  </x:si>
  <x:si>
    <x:t xml:space="preserve">BLUE-TEST-NEURO-015</x:t>
  </x:si>
  <x:si>
    <x:t xml:space="preserve">CLIN-BLUE-TEST-NEURO-016</x:t>
  </x:si>
  <x:si>
    <x:t xml:space="preserve">BLUE-TEST-NEURO-016</x:t>
  </x:si>
  <x:si>
    <x:t xml:space="preserve">CLIN-BLUE-TEST-NEURO-017</x:t>
  </x:si>
  <x:si>
    <x:t xml:space="preserve">BLUE-TEST-NEURO-017</x:t>
  </x:si>
  <x:si>
    <x:t xml:space="preserve">CLIN-BLUE-ART-NEURO-001</x:t>
  </x:si>
  <x:si>
    <x:t xml:space="preserve">BLUE-ART-NEURO-001</x:t>
  </x:si>
  <x:si>
    <x:t xml:space="preserve">CLIN-BLUE-ART-NEURO-002</x:t>
  </x:si>
  <x:si>
    <x:t xml:space="preserve">BLUE-ART-NEURO-002</x:t>
  </x:si>
  <x:si>
    <x:t xml:space="preserve">CLIN-BLUE-ART-NEURO-003</x:t>
  </x:si>
  <x:si>
    <x:t xml:space="preserve">BLUE-ART-NEURO-003</x:t>
  </x:si>
  <x:si>
    <x:t xml:space="preserve">CLIN-BLUE-ART-NEURO-004</x:t>
  </x:si>
  <x:si>
    <x:t xml:space="preserve">BLUE-ART-NEURO-004</x:t>
  </x:si>
  <x:si>
    <x:t xml:space="preserve">CLIN-BLUE-TREAT-NEURO-001</x:t>
  </x:si>
  <x:si>
    <x:t xml:space="preserve">BLUE-TREAT-NEURO-001</x:t>
  </x:si>
  <x:si>
    <x:t xml:space="preserve">CLIN-BLUE-TREAT-NEURO-002</x:t>
  </x:si>
  <x:si>
    <x:t xml:space="preserve">BLUE-TREAT-NEURO-002</x:t>
  </x:si>
  <x:si>
    <x:t xml:space="preserve">CLIN-BLUE-TREAT-NEURO-003</x:t>
  </x:si>
  <x:si>
    <x:t xml:space="preserve">BLUE-TREAT-NEURO-003</x:t>
  </x:si>
  <x:si>
    <x:t xml:space="preserve">CLIN-BLUE-TREAT-NEURO-004</x:t>
  </x:si>
  <x:si>
    <x:t xml:space="preserve">BLUE-TREAT-NEURO-004</x:t>
  </x:si>
  <x:si>
    <x:t xml:space="preserve">CLIN-BLUE-TREAT-NEURO-005</x:t>
  </x:si>
  <x:si>
    <x:t xml:space="preserve">BLUE-TREAT-NEURO-005</x:t>
  </x:si>
  <x:si>
    <x:t xml:space="preserve">CLIN-BLUE-TREAT-NEURO-006</x:t>
  </x:si>
  <x:si>
    <x:t xml:space="preserve">BLUE-TREAT-NEURO-006</x:t>
  </x:si>
  <x:si>
    <x:t xml:space="preserve">CLIN-BLUE-ART-NEURO-005</x:t>
  </x:si>
  <x:si>
    <x:t xml:space="preserve">BLUE-ART-NEURO-005</x:t>
  </x:si>
  <x:si>
    <x:t xml:space="preserve">CLIN-BLUE-ART-NEURO-006</x:t>
  </x:si>
  <x:si>
    <x:t xml:space="preserve">BLUE-ART-NEURO-006</x:t>
  </x:si>
  <x:si>
    <x:t xml:space="preserve">CLIN-BLUE-ART-NEURO-007</x:t>
  </x:si>
  <x:si>
    <x:t xml:space="preserve">BLUE-ART-NEURO-007</x:t>
  </x:si>
  <x:si>
    <x:t xml:space="preserve">CLIN-BLUE-ART-NEURO-008</x:t>
  </x:si>
  <x:si>
    <x:t xml:space="preserve">BLUE-ART-NEURO-008</x:t>
  </x:si>
  <x:si>
    <x:t xml:space="preserve">CLIN-BLUE-ART-NEURO-009</x:t>
  </x:si>
  <x:si>
    <x:t xml:space="preserve">BLUE-ART-NEURO-009</x:t>
  </x:si>
  <x:si>
    <x:t xml:space="preserve">CLIN-BLUE-ART-NEURO-010</x:t>
  </x:si>
  <x:si>
    <x:t xml:space="preserve">BLUE-ART-NEURO-010</x:t>
  </x:si>
  <x:si>
    <x:t xml:space="preserve">CLIN-BLUE-TREAT-NEURO-007</x:t>
  </x:si>
  <x:si>
    <x:t xml:space="preserve">BLUE-TREAT-NEURO-007</x:t>
  </x:si>
  <x:si>
    <x:t xml:space="preserve">ANAT-M-SCALENE</x:t>
  </x:si>
  <x:si>
    <x:t xml:space="preserve">CLIN-BLUE-TREAT-NEURO-008</x:t>
  </x:si>
  <x:si>
    <x:t xml:space="preserve">BLUE-TREAT-NEURO-008</x:t>
  </x:si>
  <x:si>
    <x:t xml:space="preserve">ANAT-M-PECMINOR</x:t>
  </x:si>
  <x:si>
    <x:t xml:space="preserve">CLIN-BLUE-TREAT-NEURO-009</x:t>
  </x:si>
  <x:si>
    <x:t xml:space="preserve">BLUE-TREAT-NEURO-009</x:t>
  </x:si>
  <x:si>
    <x:t xml:space="preserve">ANAT-M-PRONATOR</x:t>
  </x:si>
  <x:si>
    <x:t xml:space="preserve">CLIN-BLUE-TREAT-NEURO-010</x:t>
  </x:si>
  <x:si>
    <x:t xml:space="preserve">BLUE-TREAT-NEURO-010</x:t>
  </x:si>
  <x:si>
    <x:t xml:space="preserve">ANAT-M-SUPINATOR</x:t>
  </x:si>
  <x:si>
    <x:t xml:space="preserve">CLIN-BLUE-TREAT-NEURO-011</x:t>
  </x:si>
  <x:si>
    <x:t xml:space="preserve">BLUE-TREAT-NEURO-011</x:t>
  </x:si>
  <x:si>
    <x:t xml:space="preserve">ANAT-M-PIRIFORMIS</x:t>
  </x:si>
  <x:si>
    <x:t xml:space="preserve">CLIN-BLUE-TREAT-NEURO-012</x:t>
  </x:si>
  <x:si>
    <x:t xml:space="preserve">BLUE-TREAT-NEURO-012</x:t>
  </x:si>
  <x:si>
    <x:t xml:space="preserve">CLIN-BLUE-FUNC-001</x:t>
  </x:si>
  <x:si>
    <x:t xml:space="preserve">BLUE-FUNC-001</x:t>
  </x:si>
  <x:si>
    <x:t xml:space="preserve">REG-GENERAL</x:t>
  </x:si>
  <x:si>
    <x:t xml:space="preserve">TISS-000</x:t>
  </x:si>
  <x:si>
    <x:t xml:space="preserve">CLIN-BLUE-FUNC-002</x:t>
  </x:si>
  <x:si>
    <x:t xml:space="preserve">BLUE-FUNC-002</x:t>
  </x:si>
  <x:si>
    <x:t xml:space="preserve">CLIN-BLUE-FUNC-003</x:t>
  </x:si>
  <x:si>
    <x:t xml:space="preserve">BLUE-FUNC-003</x:t>
  </x:si>
  <x:si>
    <x:t xml:space="preserve">CLIN-BLUE-FUNC-004</x:t>
  </x:si>
  <x:si>
    <x:t xml:space="preserve">BLUE-FUNC-004</x:t>
  </x:si>
  <x:si>
    <x:t xml:space="preserve">CLIN-BLUE-FUNC-005</x:t>
  </x:si>
  <x:si>
    <x:t xml:space="preserve">BLUE-FUNC-005</x:t>
  </x:si>
  <x:si>
    <x:t xml:space="preserve">CLIN-BLUE-FUNC-006</x:t>
  </x:si>
  <x:si>
    <x:t xml:space="preserve">BLUE-FUNC-006</x:t>
  </x:si>
  <x:si>
    <x:t xml:space="preserve">CLIN-BLUE-FUNC-007</x:t>
  </x:si>
  <x:si>
    <x:t xml:space="preserve">BLUE-FUNC-007</x:t>
  </x:si>
  <x:si>
    <x:t xml:space="preserve">CLIN-BLUE-FUNC-008</x:t>
  </x:si>
  <x:si>
    <x:t xml:space="preserve">BLUE-FUNC-008</x:t>
  </x:si>
  <x:si>
    <x:t xml:space="preserve">CLIN-BLUE-FUNC-009</x:t>
  </x:si>
  <x:si>
    <x:t xml:space="preserve">BLUE-FUNC-009</x:t>
  </x:si>
  <x:si>
    <x:t xml:space="preserve">CLIN-BLUE-FUNC-010</x:t>
  </x:si>
  <x:si>
    <x:t xml:space="preserve">BLUE-FUNC-010</x:t>
  </x:si>
  <x:si>
    <x:t xml:space="preserve">CLIN-BLUE-OUT-001</x:t>
  </x:si>
  <x:si>
    <x:t xml:space="preserve">BLUE-OUT-001</x:t>
  </x:si>
  <x:si>
    <x:t xml:space="preserve">CLIN-BLUE-OUT-002</x:t>
  </x:si>
  <x:si>
    <x:t xml:space="preserve">BLUE-OUT-002</x:t>
  </x:si>
  <x:si>
    <x:t xml:space="preserve">CLIN-BLUE-OUT-003</x:t>
  </x:si>
  <x:si>
    <x:t xml:space="preserve">BLUE-OUT-003</x:t>
  </x:si>
  <x:si>
    <x:t xml:space="preserve">CLIN-BLUE-OUT-004</x:t>
  </x:si>
  <x:si>
    <x:t xml:space="preserve">BLUE-OUT-004</x:t>
  </x:si>
  <x:si>
    <x:t xml:space="preserve">CLIN-BLUE-OUT-005</x:t>
  </x:si>
  <x:si>
    <x:t xml:space="preserve">BLUE-OUT-005</x:t>
  </x:si>
  <x:si>
    <x:t xml:space="preserve">REG-UPPER</x:t>
  </x:si>
  <x:si>
    <x:t xml:space="preserve">CLIN-BLUE-OUT-006</x:t>
  </x:si>
  <x:si>
    <x:t xml:space="preserve">BLUE-OUT-006</x:t>
  </x:si>
  <x:si>
    <x:t xml:space="preserve">CLIN-BLUE-OUT-007</x:t>
  </x:si>
  <x:si>
    <x:t xml:space="preserve">BLUE-OUT-007</x:t>
  </x:si>
  <x:si>
    <x:t xml:space="preserve">CLIN-BLUE-OUT-008</x:t>
  </x:si>
  <x:si>
    <x:t xml:space="preserve">BLUE-OUT-008</x:t>
  </x:si>
  <x:si>
    <x:t xml:space="preserve">CLIN-BLUE-OUT-009</x:t>
  </x:si>
  <x:si>
    <x:t xml:space="preserve">BLUE-OUT-009</x:t>
  </x:si>
  <x:si>
    <x:t xml:space="preserve">CLIN-BLUE-OUT-010</x:t>
  </x:si>
  <x:si>
    <x:t xml:space="preserve">BLUE-OUT-010</x:t>
  </x:si>
  <x:si>
    <x:t xml:space="preserve">MethodStepID</x:t>
  </x:si>
  <x:si>
    <x:t xml:space="preserve">StepOrder</x:t>
  </x:si>
  <x:si>
    <x:t xml:space="preserve">MethodStep</x:t>
  </x:si>
  <x:si>
    <x:t xml:space="preserve">Instruction</x:t>
  </x:si>
  <x:si>
    <x:t xml:space="preserve">MSTEP-TRA-001</x:t>
  </x:si>
  <x:si>
    <x:t xml:space="preserve">Lie supine with knees bent</x:t>
  </x:si>
  <x:si>
    <x:t xml:space="preserve">MSTEP-TRA-002</x:t>
  </x:si>
  <x:si>
    <x:t xml:space="preserve">Maintain relaxed breathing</x:t>
  </x:si>
  <x:si>
    <x:t xml:space="preserve">MSTEP-TRA-003</x:t>
  </x:si>
  <x:si>
    <x:t xml:space="preserve">Gently draw lower abdomen inward</x:t>
  </x:si>
  <x:si>
    <x:t xml:space="preserve">MSTEP-TRA-004</x:t>
  </x:si>
  <x:si>
    <x:t xml:space="preserve">Avoid pelvic tilt or rib flare</x:t>
  </x:si>
  <x:si>
    <x:t xml:space="preserve">MSTEP-ROLL-001</x:t>
  </x:si>
  <x:si>
    <x:t xml:space="preserve">Begin supine with arms and legs extended</x:t>
  </x:si>
  <x:si>
    <x:t xml:space="preserve">MSTEP-ROLL-002</x:t>
  </x:si>
  <x:si>
    <x:t xml:space="preserve">Roll body using arm or leg initiation</x:t>
  </x:si>
  <x:si>
    <x:t xml:space="preserve">MSTEP-ROLL-003</x:t>
  </x:si>
  <x:si>
    <x:t xml:space="preserve">Maintain controlled trunk rotation</x:t>
  </x:si>
  <x:si>
    <x:t xml:space="preserve">MSTEP-CHOP-001</x:t>
  </x:si>
  <x:si>
    <x:t xml:space="preserve">Assume half kneeling position</x:t>
  </x:si>
  <x:si>
    <x:t xml:space="preserve">MSTEP-CHOP-002</x:t>
  </x:si>
  <x:si>
    <x:t xml:space="preserve">Perform diagonal chopping movement</x:t>
  </x:si>
  <x:si>
    <x:t xml:space="preserve">MSTEP-CHOP-003</x:t>
  </x:si>
  <x:si>
    <x:t xml:space="preserve">Maintain trunk control</x:t>
  </x:si>
  <x:si>
    <x:t xml:space="preserve">MSTEP-BAL-001</x:t>
  </x:si>
  <x:si>
    <x:t xml:space="preserve">Stand unsupported with feet hip width apart</x:t>
  </x:si>
  <x:si>
    <x:t xml:space="preserve">MSTEP-BAL-002</x:t>
  </x:si>
  <x:si>
    <x:t xml:space="preserve">Maintain upright posture</x:t>
  </x:si>
  <x:si>
    <x:t xml:space="preserve">MSTEP-BAL-003</x:t>
  </x:si>
  <x:si>
    <x:t xml:space="preserve">Progress stance or surface as tolerated</x:t>
  </x:si>
  <x:si>
    <x:t xml:space="preserve">MSTEP-VEST-001</x:t>
  </x:si>
  <x:si>
    <x:t xml:space="preserve">Sit upright in chair</x:t>
  </x:si>
  <x:si>
    <x:t xml:space="preserve">MSTEP-VEST-002</x:t>
  </x:si>
  <x:si>
    <x:t xml:space="preserve">Slowly rotate head side to side</x:t>
  </x:si>
  <x:si>
    <x:t xml:space="preserve">MSTEP-VEST-003</x:t>
  </x:si>
  <x:si>
    <x:t xml:space="preserve">Maintain visual focus forward</x:t>
  </x:si>
  <x:si>
    <x:t xml:space="preserve">MSTEP-LUM-001</x:t>
  </x:si>
  <x:si>
    <x:t xml:space="preserve">Begin in quadruped position</x:t>
  </x:si>
  <x:si>
    <x:t xml:space="preserve">MSTEP-LUM-002</x:t>
  </x:si>
  <x:si>
    <x:t xml:space="preserve">Maintain neutral lumbar posture</x:t>
  </x:si>
  <x:si>
    <x:t xml:space="preserve">MSTEP-LUM-003</x:t>
  </x:si>
  <x:si>
    <x:t xml:space="preserve">Lift opposite arm and leg</x:t>
  </x:si>
  <x:si>
    <x:t xml:space="preserve">MSTEP-CX-001</x:t>
  </x:si>
  <x:si>
    <x:t xml:space="preserve">Lie supine with towel support</x:t>
  </x:si>
  <x:si>
    <x:t xml:space="preserve">MSTEP-CX-002</x:t>
  </x:si>
  <x:si>
    <x:t xml:space="preserve">Gently nod chin</x:t>
  </x:si>
  <x:si>
    <x:t xml:space="preserve">MSTEP-CX-003</x:t>
  </x:si>
  <x:si>
    <x:t xml:space="preserve">Lift head slightly without SCM dominance</x:t>
  </x:si>
  <x:si>
    <x:t xml:space="preserve">MSTEP-SP-001</x:t>
  </x:si>
  <x:si>
    <x:t xml:space="preserve">Lie supine with one knee bent</x:t>
  </x:si>
  <x:si>
    <x:t xml:space="preserve">MSTEP-SP-002</x:t>
  </x:si>
  <x:si>
    <x:t xml:space="preserve">Brace trunk gently</x:t>
  </x:si>
  <x:si>
    <x:t xml:space="preserve">MSTEP-SP-003</x:t>
  </x:si>
  <x:si>
    <x:t xml:space="preserve">Raise shoulders slightly from floor</x:t>
  </x:si>
  <x:si>
    <x:t xml:space="preserve">MSTEP-SP-004</x:t>
  </x:si>
  <x:si>
    <x:t xml:space="preserve">Begin in quadruped</x:t>
  </x:si>
  <x:si>
    <x:t xml:space="preserve">MSTEP-SP-005</x:t>
  </x:si>
  <x:si>
    <x:t xml:space="preserve">Extend opposite arm and leg</x:t>
  </x:si>
  <x:si>
    <x:t xml:space="preserve">MSTEP-SP-006</x:t>
  </x:si>
  <x:si>
    <x:t xml:space="preserve">Avoid trunk rotation</x:t>
  </x:si>
  <x:si>
    <x:t xml:space="preserve">MSTEP-HIP-001</x:t>
  </x:si>
  <x:si>
    <x:t xml:space="preserve">Stand tall with dowel contact points</x:t>
  </x:si>
  <x:si>
    <x:t xml:space="preserve">MSTEP-HIP-002</x:t>
  </x:si>
  <x:si>
    <x:t xml:space="preserve">Hinge through hips</x:t>
  </x:si>
  <x:si>
    <x:t xml:space="preserve">MSTEP-HIP-003</x:t>
  </x:si>
  <x:si>
    <x:t xml:space="preserve">Maintain neutral spine</x:t>
  </x:si>
  <x:si>
    <x:t xml:space="preserve">MSTEP-RC-001</x:t>
  </x:si>
  <x:si>
    <x:t xml:space="preserve">Position shoulder neutral</x:t>
  </x:si>
  <x:si>
    <x:t xml:space="preserve">MSTEP-RC-002</x:t>
  </x:si>
  <x:si>
    <x:t xml:space="preserve">Push into resistance without movement</x:t>
  </x:si>
  <x:si>
    <x:t xml:space="preserve">MSTEP-RC-003</x:t>
  </x:si>
  <x:si>
    <x:t xml:space="preserve">Maintain pain-free effort</x:t>
  </x:si>
  <x:si>
    <x:t xml:space="preserve">MSTEP-SA-001</x:t>
  </x:si>
  <x:si>
    <x:t xml:space="preserve">Begin prone on elbows or wall</x:t>
  </x:si>
  <x:si>
    <x:t xml:space="preserve">MSTEP-SA-002</x:t>
  </x:si>
  <x:si>
    <x:t xml:space="preserve">Protract shoulder blades</x:t>
  </x:si>
  <x:si>
    <x:t xml:space="preserve">MSTEP-SA-003</x:t>
  </x:si>
  <x:si>
    <x:t xml:space="preserve">Maintain controlled scapular motion</x:t>
  </x:si>
  <x:si>
    <x:t xml:space="preserve">MSTEP-SPURL-001</x:t>
  </x:si>
  <x:si>
    <x:t xml:space="preserve">Seat patient upright</x:t>
  </x:si>
  <x:si>
    <x:t xml:space="preserve">MSTEP-SPURL-002</x:t>
  </x:si>
  <x:si>
    <x:t xml:space="preserve">Side flex toward unaffected side first</x:t>
  </x:si>
  <x:si>
    <x:t xml:space="preserve">MSTEP-SPURL-003</x:t>
  </x:si>
  <x:si>
    <x:t xml:space="preserve">Apply gentle axial compression</x:t>
  </x:si>
  <x:si>
    <x:t xml:space="preserve">MSTEP-SPURL-004</x:t>
  </x:si>
  <x:si>
    <x:t xml:space="preserve">Repeat toward affected side if required</x:t>
  </x:si>
  <x:si>
    <x:t xml:space="preserve">MSTEP-SPURL-005</x:t>
  </x:si>
  <x:si>
    <x:t xml:space="preserve">Monitor symptom reproduction</x:t>
  </x:si>
  <x:si>
    <x:t xml:space="preserve">MSTEP-SHARP-001</x:t>
  </x:si>
  <x:si>
    <x:t xml:space="preserve">Stabilise C1-C2</x:t>
  </x:si>
  <x:si>
    <x:t xml:space="preserve">MSTEP-SHARP-002</x:t>
  </x:si>
  <x:si>
    <x:t xml:space="preserve">Apply posterior translation through forehead</x:t>
  </x:si>
  <x:si>
    <x:t xml:space="preserve">MSTEP-SHARP-003</x:t>
  </x:si>
  <x:si>
    <x:t xml:space="preserve">Assess symptom reduction or excessive movement</x:t>
  </x:si>
  <x:si>
    <x:t xml:space="preserve">MSTEP-ALAR-001</x:t>
  </x:si>
  <x:si>
    <x:t xml:space="preserve">Stabilise upper cervical spine</x:t>
  </x:si>
  <x:si>
    <x:t xml:space="preserve">MSTEP-ALAR-002</x:t>
  </x:si>
  <x:si>
    <x:t xml:space="preserve">Rotate occiput gently</x:t>
  </x:si>
  <x:si>
    <x:t xml:space="preserve">MSTEP-ALAR-003</x:t>
  </x:si>
  <x:si>
    <x:t xml:space="preserve">Assess movement quality and symptom response</x:t>
  </x:si>
  <x:si>
    <x:t xml:space="preserve">MSTEP-TAP-001</x:t>
  </x:si>
  <x:si>
    <x:t xml:space="preserve">Position patient seated flexed</x:t>
  </x:si>
  <x:si>
    <x:t xml:space="preserve">MSTEP-TAP-002</x:t>
  </x:si>
  <x:si>
    <x:t xml:space="preserve">Tap spinous processes and rib angles</x:t>
  </x:si>
  <x:si>
    <x:t xml:space="preserve">MSTEP-TAP-003</x:t>
  </x:si>
  <x:si>
    <x:t xml:space="preserve">Assess for excessive tenderness</x:t>
  </x:si>
  <x:si>
    <x:t xml:space="preserve">MSTEP-C1SNAG-001</x:t>
  </x:si>
  <x:si>
    <x:t xml:space="preserve">Apply sustained glide to C1</x:t>
  </x:si>
  <x:si>
    <x:t xml:space="preserve">MSTEP-C1SNAG-002</x:t>
  </x:si>
  <x:si>
    <x:t xml:space="preserve">Guide patient into rotation</x:t>
  </x:si>
  <x:si>
    <x:t xml:space="preserve">MSTEP-C1SNAG-003</x:t>
  </x:si>
  <x:si>
    <x:t xml:space="preserve">Maintain pain-free movement</x:t>
  </x:si>
  <x:si>
    <x:t xml:space="preserve">MSTEP-HASNAG-001</x:t>
  </x:si>
  <x:si>
    <x:t xml:space="preserve">Apply sustained upper cervical glide</x:t>
  </x:si>
  <x:si>
    <x:t xml:space="preserve">MSTEP-HASNAG-002</x:t>
  </x:si>
  <x:si>
    <x:t xml:space="preserve">Guide headache-provoking movement</x:t>
  </x:si>
  <x:si>
    <x:t xml:space="preserve">MSTEP-HASNAG-003</x:t>
  </x:si>
  <x:si>
    <x:t xml:space="preserve">Repeat symptom-free</x:t>
  </x:si>
  <x:si>
    <x:t xml:space="preserve">MSTEP-TXSNAG-001</x:t>
  </x:si>
  <x:si>
    <x:t xml:space="preserve">Apply thoracic glide at symptomatic level</x:t>
  </x:si>
  <x:si>
    <x:t xml:space="preserve">MSTEP-TXSNAG-002</x:t>
  </x:si>
  <x:si>
    <x:t xml:space="preserve">Guide thoracic rotation</x:t>
  </x:si>
  <x:si>
    <x:t xml:space="preserve">MSTEP-TXSNAG-003</x:t>
  </x:si>
  <x:si>
    <x:t xml:space="preserve">Maintain pain-free range</x:t>
  </x:si>
  <x:si>
    <x:t xml:space="preserve">MSTEP-HIPMWM-001</x:t>
  </x:si>
  <x:si>
    <x:t xml:space="preserve">Apply lateral distraction belt</x:t>
  </x:si>
  <x:si>
    <x:t xml:space="preserve">MSTEP-HIPMWM-002</x:t>
  </x:si>
  <x:si>
    <x:t xml:space="preserve">Guide patient into lunge</x:t>
  </x:si>
  <x:si>
    <x:t xml:space="preserve">MSTEP-HIPMWM-003</x:t>
  </x:si>
  <x:si>
    <x:t xml:space="preserve">Maintain symptom-free hip motion</x:t>
  </x:si>
  <x:si>
    <x:t xml:space="preserve">MSTEP-TRACT-001</x:t>
  </x:si>
  <x:si>
    <x:t xml:space="preserve">Support cervical spine comfortably</x:t>
  </x:si>
  <x:si>
    <x:t xml:space="preserve">MSTEP-TRACT-002</x:t>
  </x:si>
  <x:si>
    <x:t xml:space="preserve">Apply gentle traction force</x:t>
  </x:si>
  <x:si>
    <x:t xml:space="preserve">MSTEP-TRACT-003</x:t>
  </x:si>
  <x:si>
    <x:t xml:space="preserve">Monitor neurological symptoms</x:t>
  </x:si>
  <x:si>
    <x:t xml:space="preserve">MSTEP-TXTRACT-001</x:t>
  </x:si>
  <x:si>
    <x:t xml:space="preserve">Position patient comfortably</x:t>
  </x:si>
  <x:si>
    <x:t xml:space="preserve">MSTEP-TXTRACT-002</x:t>
  </x:si>
  <x:si>
    <x:t xml:space="preserve">Apply thoracic traction</x:t>
  </x:si>
  <x:si>
    <x:t xml:space="preserve">MSTEP-TXTRACT-003</x:t>
  </x:si>
  <x:si>
    <x:t xml:space="preserve">Reassess movement and symptoms</x:t>
  </x:si>
  <x:si>
    <x:t xml:space="preserve">MSTEP-TRIG-ND-001</x:t>
  </x:si>
  <x:si>
    <x:t xml:space="preserve">Position patient supine or long sitting depending on tolerance</x:t>
  </x:si>
  <x:si>
    <x:t xml:space="preserve">MSTEP-TRIG-ND-002</x:t>
  </x:si>
  <x:si>
    <x:t xml:space="preserve">Add upper cervical flexion and contralateral lateral flexion</x:t>
  </x:si>
  <x:si>
    <x:t xml:space="preserve">MSTEP-TRIG-ND-003</x:t>
  </x:si>
  <x:si>
    <x:t xml:space="preserve">Add distal tension using hip flexion, knee extension and ankle dorsiflexion or long sitting slump</x:t>
  </x:si>
  <x:si>
    <x:t xml:space="preserve">MSTEP-TRIG-ND-004</x:t>
  </x:si>
  <x:si>
    <x:t xml:space="preserve">For slider: offload proximal end while distal end is tensioned and alternate</x:t>
  </x:si>
  <x:si>
    <x:t xml:space="preserve">MSTEP-TRIG-ND-005</x:t>
  </x:si>
  <x:si>
    <x:t xml:space="preserve">For tensioner: tension both proximal and distal ends</x:t>
  </x:si>
  <x:si>
    <x:t xml:space="preserve">MSTEP-TRIG-ND-006</x:t>
  </x:si>
  <x:si>
    <x:t xml:space="preserve">Record symptom location, intensity, range and settling response</x:t>
  </x:si>
  <x:si>
    <x:t xml:space="preserve">MSTEP-GON-ND-001</x:t>
  </x:si>
  <x:si>
    <x:t xml:space="preserve">MSTEP-GON-ND-002</x:t>
  </x:si>
  <x:si>
    <x:t xml:space="preserve">MSTEP-GON-ND-003</x:t>
  </x:si>
  <x:si>
    <x:t xml:space="preserve">MSTEP-GON-ND-004</x:t>
  </x:si>
  <x:si>
    <x:t xml:space="preserve">Alternate proximal/distal loading for slider response</x:t>
  </x:si>
  <x:si>
    <x:t xml:space="preserve">MSTEP-GON-ND-005</x:t>
  </x:si>
  <x:si>
    <x:t xml:space="preserve">Compare sides and record symptom response</x:t>
  </x:si>
  <x:si>
    <x:t xml:space="preserve">MSTEP-RAD-ULNT-001</x:t>
  </x:si>
  <x:si>
    <x:t xml:space="preserve">Add cervical contralateral lateral flexion</x:t>
  </x:si>
  <x:si>
    <x:t xml:space="preserve">MSTEP-RAD-ULNT-002</x:t>
  </x:si>
  <x:si>
    <x:t xml:space="preserve">Depress shoulder girdle</x:t>
  </x:si>
  <x:si>
    <x:t xml:space="preserve">MSTEP-RAD-ULNT-003</x:t>
  </x:si>
  <x:si>
    <x:t xml:space="preserve">Extend elbow</x:t>
  </x:si>
  <x:si>
    <x:t xml:space="preserve">MSTEP-RAD-ULNT-004</x:t>
  </x:si>
  <x:si>
    <x:t xml:space="preserve">Hold wrist and internally rotate the whole upper limb</x:t>
  </x:si>
  <x:si>
    <x:t xml:space="preserve">MSTEP-RAD-ULNT-005</x:t>
  </x:si>
  <x:si>
    <x:t xml:space="preserve">Ask patient to hold thumb and form fist</x:t>
  </x:si>
  <x:si>
    <x:t xml:space="preserve">MSTEP-RAD-ULNT-006</x:t>
  </x:si>
  <x:si>
    <x:t xml:space="preserve">Gently add wrist flexion</x:t>
  </x:si>
  <x:si>
    <x:t xml:space="preserve">MSTEP-RAD-ULNT-007</x:t>
  </x:si>
  <x:si>
    <x:t xml:space="preserve">Add shoulder abduction if required</x:t>
  </x:si>
  <x:si>
    <x:t xml:space="preserve">MSTEP-AXIL-ND-001</x:t>
  </x:si>
  <x:si>
    <x:t xml:space="preserve">MSTEP-AXIL-ND-002</x:t>
  </x:si>
  <x:si>
    <x:t xml:space="preserve">Depress ipsilateral shoulder girdle</x:t>
  </x:si>
  <x:si>
    <x:t xml:space="preserve">MSTEP-AXIL-ND-003</x:t>
  </x:si>
  <x:si>
    <x:t xml:space="preserve">Add glenohumeral internal rotation</x:t>
  </x:si>
  <x:si>
    <x:t xml:space="preserve">MSTEP-AXIL-ND-004</x:t>
  </x:si>
  <x:si>
    <x:t xml:space="preserve">Record deltoid/shoulder symptom response and differentiation</x:t>
  </x:si>
  <x:si>
    <x:t xml:space="preserve">MSTEP-MED-ULNT-001</x:t>
  </x:si>
  <x:si>
    <x:t xml:space="preserve">Abduct shoulder until shoulder elevation is first felt</x:t>
  </x:si>
  <x:si>
    <x:t xml:space="preserve">MSTEP-MED-ULNT-002</x:t>
  </x:si>
  <x:si>
    <x:t xml:space="preserve">Use gun grip to control thumb, finger and wrist extension</x:t>
  </x:si>
  <x:si>
    <x:t xml:space="preserve">MSTEP-MED-ULNT-003</x:t>
  </x:si>
  <x:si>
    <x:t xml:space="preserve">Supinate forearm</x:t>
  </x:si>
  <x:si>
    <x:t xml:space="preserve">MSTEP-MED-ULNT-004</x:t>
  </x:si>
  <x:si>
    <x:t xml:space="preserve">Add lateral shoulder rotation</x:t>
  </x:si>
  <x:si>
    <x:t xml:space="preserve">MSTEP-MED-ULNT-005</x:t>
  </x:si>
  <x:si>
    <x:t xml:space="preserve">Maintain shoulder abduction with examiner anterior thigh if needed</x:t>
  </x:si>
  <x:si>
    <x:t xml:space="preserve">MSTEP-MED-ULNT-006</x:t>
  </x:si>
  <x:si>
    <x:t xml:space="preserve">Extend elbow until restriction or symptom onset is felt</x:t>
  </x:si>
  <x:si>
    <x:t xml:space="preserve">MSTEP-MED-ULNT-007</x:t>
  </x:si>
  <x:si>
    <x:t xml:space="preserve">Record symptom location, range and cervical differentiation response</x:t>
  </x:si>
  <x:si>
    <x:t xml:space="preserve">MSTEP-ULN-ULNT-001</x:t>
  </x:si>
  <x:si>
    <x:t xml:space="preserve">MSTEP-ULN-ULNT-002</x:t>
  </x:si>
  <x:si>
    <x:t xml:space="preserve">Add finger and wrist extension</x:t>
  </x:si>
  <x:si>
    <x:t xml:space="preserve">MSTEP-ULN-ULNT-003</x:t>
  </x:si>
  <x:si>
    <x:t xml:space="preserve">Flex elbow</x:t>
  </x:si>
  <x:si>
    <x:t xml:space="preserve">MSTEP-ULN-ULNT-004</x:t>
  </x:si>
  <x:si>
    <x:t xml:space="preserve">MSTEP-ULN-ULNT-005</x:t>
  </x:si>
  <x:si>
    <x:t xml:space="preserve">Depress scapula</x:t>
  </x:si>
  <x:si>
    <x:t xml:space="preserve">MSTEP-ULN-ULNT-006</x:t>
  </x:si>
  <x:si>
    <x:t xml:space="preserve">Abduct shoulder</x:t>
  </x:si>
  <x:si>
    <x:t xml:space="preserve">MSTEP-ULN-ULNT-007</x:t>
  </x:si>
  <x:si>
    <x:t xml:space="preserve">Use ipsilateral cervical side flexion to assess symptom relief</x:t>
  </x:si>
  <x:si>
    <x:t xml:space="preserve">MSTEP-SSN-ND-001</x:t>
  </x:si>
  <x:si>
    <x:t xml:space="preserve">MSTEP-SSN-ND-002</x:t>
  </x:si>
  <x:si>
    <x:t xml:space="preserve">MSTEP-SSN-ND-003</x:t>
  </x:si>
  <x:si>
    <x:t xml:space="preserve">Apply force down the humeral shaft as tolerated</x:t>
  </x:si>
  <x:si>
    <x:t xml:space="preserve">MSTEP-SSN-ND-004</x:t>
  </x:si>
  <x:si>
    <x:t xml:space="preserve">Add scapula rotation as a mobilisation</x:t>
  </x:si>
  <x:si>
    <x:t xml:space="preserve">MSTEP-SSN-ND-005</x:t>
  </x:si>
  <x:si>
    <x:t xml:space="preserve">Record posterior shoulder/scapular symptom response</x:t>
  </x:si>
  <x:si>
    <x:t xml:space="preserve">MSTEP-SLUMP-001</x:t>
  </x:si>
  <x:si>
    <x:t xml:space="preserve">Ask patient to report symptoms in erect sitting</x:t>
  </x:si>
  <x:si>
    <x:t xml:space="preserve">MSTEP-SLUMP-002</x:t>
  </x:si>
  <x:si>
    <x:t xml:space="preserve">Fully flex spine from T1 to sacrum and apply overpressure</x:t>
  </x:si>
  <x:si>
    <x:t xml:space="preserve">MSTEP-SLUMP-003</x:t>
  </x:si>
  <x:si>
    <x:t xml:space="preserve">Fully flex head and neck and apply overpressure</x:t>
  </x:si>
  <x:si>
    <x:t xml:space="preserve">MSTEP-SLUMP-004</x:t>
  </x:si>
  <x:si>
    <x:t xml:space="preserve">Extend the knee</x:t>
  </x:si>
  <x:si>
    <x:t xml:space="preserve">MSTEP-SLUMP-005</x:t>
  </x:si>
  <x:si>
    <x:t xml:space="preserve">Add active dorsiflexion</x:t>
  </x:si>
  <x:si>
    <x:t xml:space="preserve">MSTEP-SLUMP-006</x:t>
  </x:si>
  <x:si>
    <x:t xml:space="preserve">Release/extend neck while retaining thoracolumbar overpressure</x:t>
  </x:si>
  <x:si>
    <x:t xml:space="preserve">MSTEP-SLUMP-007</x:t>
  </x:si>
  <x:si>
    <x:t xml:space="preserve">Ask patient what happens to symptoms and knee extension range</x:t>
  </x:si>
  <x:si>
    <x:t xml:space="preserve">MSTEP-SLR-001</x:t>
  </x:si>
  <x:si>
    <x:t xml:space="preserve">Position patient supine</x:t>
  </x:si>
  <x:si>
    <x:t xml:space="preserve">MSTEP-SLR-002</x:t>
  </x:si>
  <x:si>
    <x:t xml:space="preserve">Use one hand to control knee extension and the other to control lower leg</x:t>
  </x:si>
  <x:si>
    <x:t xml:space="preserve">MSTEP-SLR-003</x:t>
  </x:si>
  <x:si>
    <x:t xml:space="preserve">Raise leg in mid-position until onset of pain/resistance</x:t>
  </x:si>
  <x:si>
    <x:t xml:space="preserve">MSTEP-SLR-004</x:t>
  </x:si>
  <x:si>
    <x:t xml:space="preserve">Add cervical flexion as sensitizer</x:t>
  </x:si>
  <x:si>
    <x:t xml:space="preserve">MSTEP-SLR-005</x:t>
  </x:si>
  <x:si>
    <x:t xml:space="preserve">Add hip adduction, hip internal rotation and ankle dorsiflexion if required</x:t>
  </x:si>
  <x:si>
    <x:t xml:space="preserve">MSTEP-SLR-006</x:t>
  </x:si>
  <x:si>
    <x:t xml:space="preserve">Remove cervical flexion/extend neck and ask patient to report symptom change</x:t>
  </x:si>
  <x:si>
    <x:t xml:space="preserve">MSTEP-TIB-SLR-001</x:t>
  </x:si>
  <x:si>
    <x:t xml:space="preserve">Perform SLR setup</x:t>
  </x:si>
  <x:si>
    <x:t xml:space="preserve">MSTEP-TIB-SLR-002</x:t>
  </x:si>
  <x:si>
    <x:t xml:space="preserve">Add ankle dorsiflexion</x:t>
  </x:si>
  <x:si>
    <x:t xml:space="preserve">MSTEP-TIB-SLR-003</x:t>
  </x:si>
  <x:si>
    <x:t xml:space="preserve">Add foot eversion</x:t>
  </x:si>
  <x:si>
    <x:t xml:space="preserve">MSTEP-TIB-SLR-004</x:t>
  </x:si>
  <x:si>
    <x:t xml:space="preserve">Record symptom location and response</x:t>
  </x:si>
  <x:si>
    <x:t xml:space="preserve">MSTEP-PER-SLR-001</x:t>
  </x:si>
  <x:si>
    <x:t xml:space="preserve">MSTEP-PER-SLR-002</x:t>
  </x:si>
  <x:si>
    <x:t xml:space="preserve">Add plantar flexion</x:t>
  </x:si>
  <x:si>
    <x:t xml:space="preserve">MSTEP-PER-SLR-003</x:t>
  </x:si>
  <x:si>
    <x:t xml:space="preserve">Add inversion</x:t>
  </x:si>
  <x:si>
    <x:t xml:space="preserve">MSTEP-PER-SLR-004</x:t>
  </x:si>
  <x:si>
    <x:t xml:space="preserve">MSTEP-SUR-SLR-001</x:t>
  </x:si>
  <x:si>
    <x:t xml:space="preserve">MSTEP-SUR-SLR-002</x:t>
  </x:si>
  <x:si>
    <x:t xml:space="preserve">Add dorsiflexion</x:t>
  </x:si>
  <x:si>
    <x:t xml:space="preserve">MSTEP-SUR-SLR-003</x:t>
  </x:si>
  <x:si>
    <x:t xml:space="preserve">MSTEP-SUR-SLR-004</x:t>
  </x:si>
  <x:si>
    <x:t xml:space="preserve">MSTEP-FEM-PKB-001</x:t>
  </x:si>
  <x:si>
    <x:t xml:space="preserve">Position client prone</x:t>
  </x:si>
  <x:si>
    <x:t xml:space="preserve">MSTEP-FEM-PKB-002</x:t>
  </x:si>
  <x:si>
    <x:t xml:space="preserve">Passively flex the knee</x:t>
  </x:si>
  <x:si>
    <x:t xml:space="preserve">MSTEP-FEM-PKB-003</x:t>
  </x:si>
  <x:si>
    <x:t xml:space="preserve">Monitor anterior thigh/femoral cutaneous distribution symptoms</x:t>
  </x:si>
  <x:si>
    <x:t xml:space="preserve">MSTEP-FEM-PKB-004</x:t>
  </x:si>
  <x:si>
    <x:t xml:space="preserve">Record whether symptoms suggest femoral nerve involvement</x:t>
  </x:si>
  <x:si>
    <x:t xml:space="preserve">MSTEP-FEM-PKB-005</x:t>
  </x:si>
  <x:si>
    <x:t xml:space="preserve">Note that differentiation from quadriceps muscle symptoms may be difficult</x:t>
  </x:si>
  <x:si>
    <x:t xml:space="preserve">MSTEP-FEM-SLUMP-001</x:t>
  </x:si>
  <x:si>
    <x:t xml:space="preserve">Position patient side lying at side of bed with lower leg in hip flexion</x:t>
  </x:si>
  <x:si>
    <x:t xml:space="preserve">MSTEP-FEM-SLUMP-002</x:t>
  </x:si>
  <x:si>
    <x:t xml:space="preserve">Patient stabilises lower leg in hands with trunk fully flexed and head neutral</x:t>
  </x:si>
  <x:si>
    <x:t xml:space="preserve">MSTEP-FEM-SLUMP-003</x:t>
  </x:si>
  <x:si>
    <x:t xml:space="preserve">Therapist stabilises pelvis and supports knee</x:t>
  </x:si>
  <x:si>
    <x:t xml:space="preserve">MSTEP-FEM-SLUMP-004</x:t>
  </x:si>
  <x:si>
    <x:t xml:space="preserve">Extend hip until symptom onset or end range while knee remains flexed to 90 degrees</x:t>
  </x:si>
  <x:si>
    <x:t xml:space="preserve">MSTEP-FEM-SLUMP-005</x:t>
  </x:si>
  <x:si>
    <x:t xml:space="preserve">Differentiate by neck flexion</x:t>
  </x:si>
  <x:si>
    <x:t xml:space="preserve">MSTEP-FEM-SLUMP-006</x:t>
  </x:si>
  <x:si>
    <x:t xml:space="preserve">Record symptom response</x:t>
  </x:si>
  <x:si>
    <x:t xml:space="preserve">MSTEP-LCFN-001</x:t>
  </x:si>
  <x:si>
    <x:t xml:space="preserve">Set up as femoral nerve test</x:t>
  </x:si>
  <x:si>
    <x:t xml:space="preserve">MSTEP-LCFN-002</x:t>
  </x:si>
  <x:si>
    <x:t xml:space="preserve">Add hip adduction</x:t>
  </x:si>
  <x:si>
    <x:t xml:space="preserve">MSTEP-LCFN-003</x:t>
  </x:si>
  <x:si>
    <x:t xml:space="preserve">Add hip medial rotation</x:t>
  </x:si>
  <x:si>
    <x:t xml:space="preserve">MSTEP-LCFN-004</x:t>
  </x:si>
  <x:si>
    <x:t xml:space="preserve">Record lateral thigh symptom response</x:t>
  </x:si>
  <x:si>
    <x:t xml:space="preserve">MSTEP-SAPH-001</x:t>
  </x:si>
  <x:si>
    <x:t xml:space="preserve">MSTEP-SAPH-002</x:t>
  </x:si>
  <x:si>
    <x:t xml:space="preserve">Add knee extension</x:t>
  </x:si>
  <x:si>
    <x:t xml:space="preserve">MSTEP-SAPH-003</x:t>
  </x:si>
  <x:si>
    <x:t xml:space="preserve">MSTEP-SAPH-004</x:t>
  </x:si>
  <x:si>
    <x:t xml:space="preserve">Record medial knee/leg symptom response</x:t>
  </x:si>
  <x:si>
    <x:t xml:space="preserve">MSTEP-OBT-001</x:t>
  </x:si>
  <x:si>
    <x:t xml:space="preserve">MSTEP-OBT-002</x:t>
  </x:si>
  <x:si>
    <x:t xml:space="preserve">Abduct hip with knee flexed</x:t>
  </x:si>
  <x:si>
    <x:t xml:space="preserve">MSTEP-OBT-003</x:t>
  </x:si>
  <x:si>
    <x:t xml:space="preserve">Record medial thigh/groin symptom response</x:t>
  </x:si>
  <x:si>
    <x:t xml:space="preserve">MSTEP-MED-SLIDER-001</x:t>
  </x:si>
  <x:si>
    <x:t xml:space="preserve">Move into comfortable median nerve test position</x:t>
  </x:si>
  <x:si>
    <x:t xml:space="preserve">MSTEP-MED-SLIDER-002</x:t>
  </x:si>
  <x:si>
    <x:t xml:space="preserve">Tension distal end with wrist/finger extension while offloading cervical/shoulder component</x:t>
  </x:si>
  <x:si>
    <x:t xml:space="preserve">MSTEP-MED-SLIDER-003</x:t>
  </x:si>
  <x:si>
    <x:t xml:space="preserve">Then release distal end while gently adding proximal component</x:t>
  </x:si>
  <x:si>
    <x:t xml:space="preserve">MSTEP-MED-SLIDER-004</x:t>
  </x:si>
  <x:si>
    <x:t xml:space="preserve">Move rhythmically through comfortable range</x:t>
  </x:si>
  <x:si>
    <x:t xml:space="preserve">MSTEP-MED-SLIDER-005</x:t>
  </x:si>
  <x:si>
    <x:t xml:space="preserve">Stop if clinical pain occurs or symptoms linger</x:t>
  </x:si>
  <x:si>
    <x:t xml:space="preserve">MSTEP-MED-TENSION-001</x:t>
  </x:si>
  <x:si>
    <x:t xml:space="preserve">Set up low-irritability median nerve test position</x:t>
  </x:si>
  <x:si>
    <x:t xml:space="preserve">MSTEP-MED-TENSION-002</x:t>
  </x:si>
  <x:si>
    <x:t xml:space="preserve">Add elbow, wrist and finger extension near tolerated end range</x:t>
  </x:si>
  <x:si>
    <x:t xml:space="preserve">MSTEP-MED-TENSION-003</x:t>
  </x:si>
  <x:si>
    <x:t xml:space="preserve">Add contralateral cervical lateral flexion only if symptoms fully settle</x:t>
  </x:si>
  <x:si>
    <x:t xml:space="preserve">MSTEP-MED-TENSION-004</x:t>
  </x:si>
  <x:si>
    <x:t xml:space="preserve">Return neural structure to off-load position between repetitions</x:t>
  </x:si>
  <x:si>
    <x:t xml:space="preserve">MSTEP-MED-TENSION-005</x:t>
  </x:si>
  <x:si>
    <x:t xml:space="preserve">Stop if symptoms do not settle completely</x:t>
  </x:si>
  <x:si>
    <x:t xml:space="preserve">MSTEP-SCI-SLIDER-001</x:t>
  </x:si>
  <x:si>
    <x:t xml:space="preserve">Sit or lie in comfortable sciatic slider position</x:t>
  </x:si>
  <x:si>
    <x:t xml:space="preserve">MSTEP-SCI-SLIDER-002</x:t>
  </x:si>
  <x:si>
    <x:t xml:space="preserve">Extend knee while extending neck or reducing proximal load</x:t>
  </x:si>
  <x:si>
    <x:t xml:space="preserve">MSTEP-SCI-SLIDER-003</x:t>
  </x:si>
  <x:si>
    <x:t xml:space="preserve">Reverse movement by flexing knee as cervical flexion/proximal load is added</x:t>
  </x:si>
  <x:si>
    <x:t xml:space="preserve">MSTEP-SCI-SLIDER-004</x:t>
  </x:si>
  <x:si>
    <x:t xml:space="preserve">Move with large but comfortable amplitude</x:t>
  </x:si>
  <x:si>
    <x:t xml:space="preserve">MSTEP-SCI-SLIDER-005</x:t>
  </x:si>
  <x:si>
    <x:t xml:space="preserve">Stop if symptoms occur during or after the technique</x:t>
  </x:si>
  <x:si>
    <x:t xml:space="preserve">MSTEP-SCI-TENSION-001</x:t>
  </x:si>
  <x:si>
    <x:t xml:space="preserve">Set up low-irritability slump or SLR position</x:t>
  </x:si>
  <x:si>
    <x:t xml:space="preserve">MSTEP-SCI-TENSION-002</x:t>
  </x:si>
  <x:si>
    <x:t xml:space="preserve">Add cervical flexion with knee extension and/or ankle dorsiflexion as tolerated</x:t>
  </x:si>
  <x:si>
    <x:t xml:space="preserve">MSTEP-SCI-TENSION-003</x:t>
  </x:si>
  <x:si>
    <x:t xml:space="preserve">Return to off-load position between repetitions</x:t>
  </x:si>
  <x:si>
    <x:t xml:space="preserve">MSTEP-SCI-TENSION-004</x:t>
  </x:si>
  <x:si>
    <x:t xml:space="preserve">Ensure symptoms settle completely before repeating</x:t>
  </x:si>
  <x:si>
    <x:t xml:space="preserve">MSTEP-SCI-TENSION-005</x:t>
  </x:si>
  <x:si>
    <x:t xml:space="preserve">Stop if symptoms linger or flare</x:t>
  </x:si>
  <x:si>
    <x:t xml:space="preserve">MSTEP-CX-OPENER-001</x:t>
  </x:si>
  <x:si>
    <x:t xml:space="preserve">Find cervical segment with reduced glide</x:t>
  </x:si>
  <x:si>
    <x:t xml:space="preserve">MSTEP-CX-OPENER-002</x:t>
  </x:si>
  <x:si>
    <x:t xml:space="preserve">Apply contralateral lateral flexion with lateral-to-medial glide</x:t>
  </x:si>
  <x:si>
    <x:t xml:space="preserve">MSTEP-CX-OPENER-003</x:t>
  </x:si>
  <x:si>
    <x:t xml:space="preserve">Optionally add active depression of ipsilateral shoulder</x:t>
  </x:si>
  <x:si>
    <x:t xml:space="preserve">MSTEP-CX-OPENER-004</x:t>
  </x:si>
  <x:si>
    <x:t xml:space="preserve">Optionally add active neurodynamic tension position if tolerated</x:t>
  </x:si>
  <x:si>
    <x:t xml:space="preserve">MSTEP-CX-OPENER-005</x:t>
  </x:si>
  <x:si>
    <x:t xml:space="preserve">Reassess symptoms and movement</x:t>
  </x:si>
  <x:si>
    <x:t xml:space="preserve">MSTEP-CX-CLOSER-001</x:t>
  </x:si>
  <x:si>
    <x:t xml:space="preserve">MSTEP-CX-CLOSER-002</x:t>
  </x:si>
  <x:si>
    <x:t xml:space="preserve">Apply ipsilateral lateral flexion with lateral-to-medial glide</x:t>
  </x:si>
  <x:si>
    <x:t xml:space="preserve">MSTEP-CX-CLOSER-003</x:t>
  </x:si>
  <x:si>
    <x:t xml:space="preserve">MSTEP-CX-CLOSER-004</x:t>
  </x:si>
  <x:si>
    <x:t xml:space="preserve">MSTEP-CX-CLOSER-005</x:t>
  </x:si>
  <x:si>
    <x:t xml:space="preserve">MSTEP-GON-MOB-001</x:t>
  </x:si>
  <x:si>
    <x:t xml:space="preserve">Palpate lateral to external occipital protuberance above superior nuchal line</x:t>
  </x:si>
  <x:si>
    <x:t xml:space="preserve">MSTEP-GON-MOB-002</x:t>
  </x:si>
  <x:si>
    <x:t xml:space="preserve">Move laterally two to three finger widths to locate greater occipital nerve</x:t>
  </x:si>
  <x:si>
    <x:t xml:space="preserve">MSTEP-GON-MOB-003</x:t>
  </x:si>
  <x:si>
    <x:t xml:space="preserve">Compare pain, movement and texture bilaterally</x:t>
  </x:si>
  <x:si>
    <x:t xml:space="preserve">MSTEP-GON-MOB-004</x:t>
  </x:si>
  <x:si>
    <x:t xml:space="preserve">Use rolling or tensioning technique</x:t>
  </x:si>
  <x:si>
    <x:t xml:space="preserve">MSTEP-GON-MOB-005</x:t>
  </x:si>
  <x:si>
    <x:t xml:space="preserve">Optionally ask client to chin tuck and contralaterally laterally flex cervical spine</x:t>
  </x:si>
  <x:si>
    <x:t xml:space="preserve">MSTEP-TRIG-MOB-001</x:t>
  </x:si>
  <x:si>
    <x:t xml:space="preserve">Palpate trigeminal branches at nasal cleft, frontal bone, maxilla/zygomatic arch and mandible</x:t>
  </x:si>
  <x:si>
    <x:t xml:space="preserve">MSTEP-TRIG-MOB-002</x:t>
  </x:si>
  <x:si>
    <x:t xml:space="preserve">MSTEP-TRIG-MOB-003</x:t>
  </x:si>
  <x:si>
    <x:t xml:space="preserve">Use gentle rolling technique with manual manipulation</x:t>
  </x:si>
  <x:si>
    <x:t xml:space="preserve">MSTEP-TRIG-MOB-004</x:t>
  </x:si>
  <x:si>
    <x:t xml:space="preserve">Monitor facial/headache symptom response</x:t>
  </x:si>
  <x:si>
    <x:t xml:space="preserve">MSTEP-ACC-MOB-001</x:t>
  </x:si>
  <x:si>
    <x:t xml:space="preserve">Locate nerve just superior to superior angle of scapula</x:t>
  </x:si>
  <x:si>
    <x:t xml:space="preserve">MSTEP-ACC-MOB-002</x:t>
  </x:si>
  <x:si>
    <x:t xml:space="preserve">Move overlying muscle away if needed</x:t>
  </x:si>
  <x:si>
    <x:t xml:space="preserve">MSTEP-ACC-MOB-003</x:t>
  </x:si>
  <x:si>
    <x:t xml:space="preserve">Use shoulder depression and medial rotation to test response</x:t>
  </x:si>
  <x:si>
    <x:t xml:space="preserve">MSTEP-ACC-MOB-004</x:t>
  </x:si>
  <x:si>
    <x:t xml:space="preserve">Apply gentle rolling or tensioning technique</x:t>
  </x:si>
  <x:si>
    <x:t xml:space="preserve">MSTEP-ACC-MOB-005</x:t>
  </x:si>
  <x:si>
    <x:t xml:space="preserve">Optionally add active chin tuck and contralateral cervical lateral flexion</x:t>
  </x:si>
  <x:si>
    <x:t xml:space="preserve">MSTEP-BP-MOB-001</x:t>
  </x:si>
  <x:si>
    <x:t xml:space="preserve">Position patient supine and maintain privacy/draping</x:t>
  </x:si>
  <x:si>
    <x:t xml:space="preserve">MSTEP-BP-MOB-002</x:t>
  </x:si>
  <x:si>
    <x:t xml:space="preserve">Palpate brachial plexus or upper limb nerve trunks via axilla/posterior clavicle as clinically appropriate</x:t>
  </x:si>
  <x:si>
    <x:t xml:space="preserve">MSTEP-BP-MOB-003</x:t>
  </x:si>
  <x:si>
    <x:t xml:space="preserve">MSTEP-BP-MOB-004</x:t>
  </x:si>
  <x:si>
    <x:t xml:space="preserve">Use gentle mobilisation only within tolerance</x:t>
  </x:si>
  <x:si>
    <x:t xml:space="preserve">MSTEP-BP-MOB-005</x:t>
  </x:si>
  <x:si>
    <x:t xml:space="preserve">Use caution post breast or shoulder surgery</x:t>
  </x:si>
  <x:si>
    <x:t xml:space="preserve">METH-GAIT-001</x:t>
  </x:si>
  <x:si>
    <x:t xml:space="preserve">Instruct patient to walk at a comfortable pace</x:t>
  </x:si>
  <x:si>
    <x:t xml:space="preserve">METH-GAIT-002</x:t>
  </x:si>
  <x:si>
    <x:t xml:space="preserve">Observe gait from anterior, posterior and lateral views</x:t>
  </x:si>
  <x:si>
    <x:t xml:space="preserve">METH-GAIT-003</x:t>
  </x:si>
  <x:si>
    <x:t xml:space="preserve">Assess stride length, cadence and symmetry</x:t>
  </x:si>
  <x:si>
    <x:t xml:space="preserve">METH-GAIT-004</x:t>
  </x:si>
  <x:si>
    <x:t xml:space="preserve">Observe arm swing and trunk rotation</x:t>
  </x:si>
  <x:si>
    <x:t xml:space="preserve">METH-GAIT-005</x:t>
  </x:si>
  <x:si>
    <x:t xml:space="preserve">Record compensations, pain behaviours and gait deviations</x:t>
  </x:si>
  <x:si>
    <x:t xml:space="preserve">METH-STS-001</x:t>
  </x:si>
  <x:si>
    <x:t xml:space="preserve">Position patient seated in a standard height chair</x:t>
  </x:si>
  <x:si>
    <x:t xml:space="preserve">METH-STS-002</x:t>
  </x:si>
  <x:si>
    <x:t xml:space="preserve">Feet flat on floor approximately hip width apart</x:t>
  </x:si>
  <x:si>
    <x:t xml:space="preserve">METH-STS-003</x:t>
  </x:si>
  <x:si>
    <x:t xml:space="preserve">Instruct patient to stand fully then sit back down</x:t>
  </x:si>
  <x:si>
    <x:t xml:space="preserve">METH-STS-004</x:t>
  </x:si>
  <x:si>
    <x:t xml:space="preserve">Observe movement quality, weight shift and control</x:t>
  </x:si>
  <x:si>
    <x:t xml:space="preserve">METH-STS-005</x:t>
  </x:si>
  <x:si>
    <x:t xml:space="preserve">Record pain, compensations and use of upper limbs</x:t>
  </x:si>
  <x:si>
    <x:t xml:space="preserve">METH-SLB-001</x:t>
  </x:si>
  <x:si>
    <x:t xml:space="preserve">Position patient standing barefoot if appropriate</x:t>
  </x:si>
  <x:si>
    <x:t xml:space="preserve">METH-SLB-002</x:t>
  </x:si>
  <x:si>
    <x:t xml:space="preserve">Instruct patient to lift one foot from the ground</x:t>
  </x:si>
  <x:si>
    <x:t xml:space="preserve">METH-SLB-003</x:t>
  </x:si>
  <x:si>
    <x:t xml:space="preserve">Time duration of balance hold</x:t>
  </x:si>
  <x:si>
    <x:t xml:space="preserve">METH-SLB-004</x:t>
  </x:si>
  <x:si>
    <x:t xml:space="preserve">Observe sway, pelvic control and trunk compensation</x:t>
  </x:si>
  <x:si>
    <x:t xml:space="preserve">METH-SLB-005</x:t>
  </x:si>
  <x:si>
    <x:t xml:space="preserve">Repeat on opposite side and compare findings</x:t>
  </x:si>
  <x:si>
    <x:t xml:space="preserve">METH-SQUAT-001</x:t>
  </x:si>
  <x:si>
    <x:t xml:space="preserve">Position patient standing with feet shoulder width apart</x:t>
  </x:si>
  <x:si>
    <x:t xml:space="preserve">METH-SQUAT-002</x:t>
  </x:si>
  <x:si>
    <x:t xml:space="preserve">Instruct patient to perform a comfortable bodyweight squat</x:t>
  </x:si>
  <x:si>
    <x:t xml:space="preserve">METH-SQUAT-003</x:t>
  </x:si>
  <x:si>
    <x:t xml:space="preserve">Observe depth, weight distribution and trunk position</x:t>
  </x:si>
  <x:si>
    <x:t xml:space="preserve">METH-SQUAT-004</x:t>
  </x:si>
  <x:si>
    <x:t xml:space="preserve">Assess knee tracking, heel contact and pelvic control</x:t>
  </x:si>
  <x:si>
    <x:t xml:space="preserve">METH-SQUAT-005</x:t>
  </x:si>
  <x:si>
    <x:t xml:space="preserve">Record symptoms, compensations and movement quality</x:t>
  </x:si>
  <x:si>
    <x:t xml:space="preserve">METH-SD-001</x:t>
  </x:si>
  <x:si>
    <x:t xml:space="preserve">Position patient on a 15-20cm step</x:t>
  </x:si>
  <x:si>
    <x:t xml:space="preserve">METH-SD-002</x:t>
  </x:si>
  <x:si>
    <x:t xml:space="preserve">Instruct patient to slowly lower opposite heel toward floor</x:t>
  </x:si>
  <x:si>
    <x:t xml:space="preserve">METH-SD-003</x:t>
  </x:si>
  <x:si>
    <x:t xml:space="preserve">Observe knee alignment throughout movement</x:t>
  </x:si>
  <x:si>
    <x:t xml:space="preserve">METH-SD-004</x:t>
  </x:si>
  <x:si>
    <x:t xml:space="preserve">Assess pelvic stability and trunk control</x:t>
  </x:si>
  <x:si>
    <x:t xml:space="preserve">METH-SD-005</x:t>
  </x:si>
  <x:si>
    <x:t xml:space="preserve">METH-HH-001</x:t>
  </x:si>
  <x:si>
    <x:t xml:space="preserve">Position patient standing upright</x:t>
  </x:si>
  <x:si>
    <x:t xml:space="preserve">METH-HH-002</x:t>
  </x:si>
  <x:si>
    <x:t xml:space="preserve">Instruct patient to push hips backwards while maintaining neutral spine</x:t>
  </x:si>
  <x:si>
    <x:t xml:space="preserve">METH-HH-003</x:t>
  </x:si>
  <x:si>
    <x:t xml:space="preserve">Observe lumbar contribution versus hip contribution</x:t>
  </x:si>
  <x:si>
    <x:t xml:space="preserve">METH-HH-004</x:t>
  </x:si>
  <x:si>
    <x:t xml:space="preserve">Assess movement confidence and control</x:t>
  </x:si>
  <x:si>
    <x:t xml:space="preserve">METH-HH-005</x:t>
  </x:si>
  <x:si>
    <x:t xml:space="preserve">Record symptoms and compensations</x:t>
  </x:si>
  <x:si>
    <x:t xml:space="preserve">METH-FB-001</x:t>
  </x:si>
  <x:si>
    <x:t xml:space="preserve">Position patient standing upright with knees extended</x:t>
  </x:si>
  <x:si>
    <x:t xml:space="preserve">METH-FB-002</x:t>
  </x:si>
  <x:si>
    <x:t xml:space="preserve">Instruct patient to bend forward toward the floor</x:t>
  </x:si>
  <x:si>
    <x:t xml:space="preserve">METH-FB-003</x:t>
  </x:si>
  <x:si>
    <x:t xml:space="preserve">Observe movement pattern and segmental contribution</x:t>
  </x:si>
  <x:si>
    <x:t xml:space="preserve">METH-FB-004</x:t>
  </x:si>
  <x:si>
    <x:t xml:space="preserve">Record fingertip reach level</x:t>
  </x:si>
  <x:si>
    <x:t xml:space="preserve">METH-FB-005</x:t>
  </x:si>
  <x:si>
    <x:t xml:space="preserve">Record symptom behaviour during and after movement</x:t>
  </x:si>
  <x:si>
    <x:t xml:space="preserve">METH-OH-001</x:t>
  </x:si>
  <x:si>
    <x:t xml:space="preserve">METH-OH-002</x:t>
  </x:si>
  <x:si>
    <x:t xml:space="preserve">Instruct patient to raise both arms overhead</x:t>
  </x:si>
  <x:si>
    <x:t xml:space="preserve">METH-OH-003</x:t>
  </x:si>
  <x:si>
    <x:t xml:space="preserve">Observe scapular movement and thoracic extension</x:t>
  </x:si>
  <x:si>
    <x:t xml:space="preserve">METH-OH-004</x:t>
  </x:si>
  <x:si>
    <x:t xml:space="preserve">Assess side-to-side symmetry</x:t>
  </x:si>
  <x:si>
    <x:t xml:space="preserve">METH-OH-005</x:t>
  </x:si>
  <x:si>
    <x:t xml:space="preserve">Record symptoms, restrictions and compensations</x:t>
  </x:si>
  <x:si>
    <x:t xml:space="preserve">METH-FHT-001</x:t>
  </x:si>
  <x:si>
    <x:t xml:space="preserve">Position patient seated or standing</x:t>
  </x:si>
  <x:si>
    <x:t xml:space="preserve">METH-FHT-002</x:t>
  </x:si>
  <x:si>
    <x:t xml:space="preserve">Instruct patient to rotate head as if checking a blind spot while driving</x:t>
  </x:si>
  <x:si>
    <x:t xml:space="preserve">METH-FHT-003</x:t>
  </x:si>
  <x:si>
    <x:t xml:space="preserve">Assess active range and movement quality</x:t>
  </x:si>
  <x:si>
    <x:t xml:space="preserve">METH-FHT-004</x:t>
  </x:si>
  <x:si>
    <x:t xml:space="preserve">Observe symptom reproduction including dizziness</x:t>
  </x:si>
  <x:si>
    <x:t xml:space="preserve">METH-FHT-005</x:t>
  </x:si>
  <x:si>
    <x:t xml:space="preserve">Compare left and right rotation performance</x:t>
  </x:si>
  <x:si>
    <x:t xml:space="preserve">METH-DNF-001</x:t>
  </x:si>
  <x:si>
    <x:t xml:space="preserve">Position patient supine with knees bent</x:t>
  </x:si>
  <x:si>
    <x:t xml:space="preserve">METH-DNF-002</x:t>
  </x:si>
  <x:si>
    <x:t xml:space="preserve">Instruct patient to perform a gentle cranio-cervical nod</x:t>
  </x:si>
  <x:si>
    <x:t xml:space="preserve">METH-DNF-003</x:t>
  </x:si>
  <x:si>
    <x:t xml:space="preserve">Lift head approximately 2.5cm from support surface</x:t>
  </x:si>
  <x:si>
    <x:t xml:space="preserve">METH-DNF-004</x:t>
  </x:si>
  <x:si>
    <x:t xml:space="preserve">Time endurance hold while monitoring form</x:t>
  </x:si>
  <x:si>
    <x:t xml:space="preserve">METH-DNF-005</x:t>
  </x:si>
  <x:si>
    <x:t xml:space="preserve">Record hold time, fatigue and compensatory muscle activity</x:t>
  </x:si>
  <x:si>
    <x:t xml:space="preserve">METH-OUT-001</x:t>
  </x:si>
  <x:si>
    <x:t xml:space="preserve">Ask patient to rate current pain from 0 to 10</x:t>
  </x:si>
  <x:si>
    <x:t xml:space="preserve">METH-OUT-002</x:t>
  </x:si>
  <x:si>
    <x:t xml:space="preserve">Identify up to three meaningful functional activities</x:t>
  </x:si>
  <x:si>
    <x:t xml:space="preserve">METH-OUT-003</x:t>
  </x:si>
  <x:si>
    <x:t xml:space="preserve">Rate each activity from 0 to 10</x:t>
  </x:si>
  <x:si>
    <x:t xml:space="preserve">METH-OUT-004</x:t>
  </x:si>
  <x:si>
    <x:t xml:space="preserve">Complete Neck Disability Index questionnaire</x:t>
  </x:si>
  <x:si>
    <x:t xml:space="preserve">METH-OUT-005</x:t>
  </x:si>
  <x:si>
    <x:t xml:space="preserve">Complete Dizziness Handicap Inventory questionnaire</x:t>
  </x:si>
  <x:si>
    <x:t xml:space="preserve">METH-OUT-006</x:t>
  </x:si>
  <x:si>
    <x:t xml:space="preserve">Complete QuickDASH questionnaire</x:t>
  </x:si>
  <x:si>
    <x:t xml:space="preserve">METH-OUT-007</x:t>
  </x:si>
  <x:si>
    <x:t xml:space="preserve">Complete Oswestry Disability Index questionnaire</x:t>
  </x:si>
  <x:si>
    <x:t xml:space="preserve">METH-OUT-008</x:t>
  </x:si>
  <x:si>
    <x:t xml:space="preserve">Complete LEFS questionnaire</x:t>
  </x:si>
  <x:si>
    <x:t xml:space="preserve">METH-OUT-009</x:t>
  </x:si>
  <x:si>
    <x:t xml:space="preserve">Complete Tampa Scale questionnaire</x:t>
  </x:si>
  <x:si>
    <x:t xml:space="preserve">METH-OUT-010</x:t>
  </x:si>
  <x:si>
    <x:t xml:space="preserve">Complete Pain Catastrophizing questionnaire</x:t>
  </x:si>
  <x:si>
    <x:t xml:space="preserve">METH-OUT-011</x:t>
  </x:si>
  <x:si>
    <x:t xml:space="preserve">Complete Central Sensitisation Inventory</x:t>
  </x:si>
  <x:si>
    <x:t xml:space="preserve">METHOD-PHOTO-001</x:t>
  </x:si>
  <x:si>
    <x:t xml:space="preserve">BLUE-BUS-009</x:t>
  </x:si>
  <x:si>
    <x:t xml:space="preserve">Plan Photography</x:t>
  </x:si>
  <x:si>
    <x:t xml:space="preserve">Determine photography type.
Prepare products or subject.
Create Asset ID if required.
Prepare shot list.</x:t>
  </x:si>
  <x:si>
    <x:t xml:space="preserve">METHOD-PHOTO-002</x:t>
  </x:si>
  <x:si>
    <x:t xml:space="preserve">Prepare Photography Area</x:t>
  </x:si>
  <x:si>
    <x:t xml:space="preserve">Set up background.
Arrange lighting.
Clean products.
Prepare equipment.</x:t>
  </x:si>
  <x:si>
    <x:t xml:space="preserve">METHOD-PHOTO-003</x:t>
  </x:si>
  <x:si>
    <x:t xml:space="preserve">Capture Images</x:t>
  </x:si>
  <x:si>
    <x:t xml:space="preserve">Photograph using the Photography Standards.
Capture all required angles.
Review images before packing away.</x:t>
  </x:si>
  <x:si>
    <x:t xml:space="preserve">METHOD-PHOTO-004</x:t>
  </x:si>
  <x:si>
    <x:t xml:space="preserve">Edit Images</x:t>
  </x:si>
  <x:si>
    <x:t xml:space="preserve">Crop.
Straighten.
Adjust exposure.
Correct white balance.
Resize.
Export required versions.</x:t>
  </x:si>
  <x:si>
    <x:t xml:space="preserve">METHOD-PHOTO-005</x:t>
  </x:si>
  <x:si>
    <x:t xml:space="preserve">Upload Assets</x:t>
  </x:si>
  <x:si>
    <x:t xml:space="preserve">Upload original.
Upload thumbnail.
Upload preview (if required).
Store in Firebase using Asset ID.</x:t>
  </x:si>
  <x:si>
    <x:t xml:space="preserve">METHOD-PHOTO-006</x:t>
  </x:si>
  <x:si>
    <x:t xml:space="preserve">Document Asset</x:t>
  </x:si>
  <x:si>
    <x:t xml:space="preserve">Create Asset record.
Copy URLs.
Complete metadata.</x:t>
  </x:si>
  <x:si>
    <x:t xml:space="preserve">METHOD-PHOTO-007</x:t>
  </x:si>
  <x:si>
    <x:t xml:space="preserve">Link Asset</x:t>
  </x:si>
  <x:si>
    <x:t xml:space="preserve">Create ItemAsset record.
Assign purpose.
Set display order.</x:t>
  </x:si>
  <x:si>
    <x:t xml:space="preserve">METHOD-PHOTO-008</x:t>
  </x:si>
  <x:si>
    <x:t xml:space="preserve">Quality Check</x:t>
  </x:si>
  <x:si>
    <x:t xml:space="preserve">Complete photography checklist.
Approve for publishing.</x:t>
  </x:si>
  <x:si>
    <x:t xml:space="preserve">FindingID</x:t>
  </x:si>
  <x:si>
    <x:t xml:space="preserve">Finding</x:t>
  </x:si>
  <x:si>
    <x:t xml:space="preserve">Clinical Meaning</x:t>
  </x:si>
  <x:si>
    <x:t xml:space="preserve">FIND-SPURL-001</x:t>
  </x:si>
  <x:si>
    <x:t xml:space="preserve">Arm paresthesia reproduced</x:t>
  </x:si>
  <x:si>
    <x:t xml:space="preserve">Possible cervical radiculopathy</x:t>
  </x:si>
  <x:si>
    <x:t xml:space="preserve">FIND-SPURL-002</x:t>
  </x:si>
  <x:si>
    <x:t xml:space="preserve">Local neck pain only</x:t>
  </x:si>
  <x:si>
    <x:t xml:space="preserve">Possible facet or joint irritation</x:t>
  </x:si>
  <x:si>
    <x:t xml:space="preserve">FIND-SPURL-003</x:t>
  </x:si>
  <x:si>
    <x:t xml:space="preserve">Negative test</x:t>
  </x:si>
  <x:si>
    <x:t xml:space="preserve">Less likely foraminal compression</x:t>
  </x:si>
  <x:si>
    <x:t xml:space="preserve">FIND-SHARP-001</x:t>
  </x:si>
  <x:si>
    <x:t xml:space="preserve">Excessive posterior glide</x:t>
  </x:si>
  <x:si>
    <x:t xml:space="preserve">Possible atlantoaxial instability</x:t>
  </x:si>
  <x:si>
    <x:t xml:space="preserve">FIND-SHARP-002</x:t>
  </x:si>
  <x:si>
    <x:t xml:space="preserve">Symptom reduction during glide</x:t>
  </x:si>
  <x:si>
    <x:t xml:space="preserve">Instability likely involved</x:t>
  </x:si>
  <x:si>
    <x:t xml:space="preserve">FIND-SHARP-003</x:t>
  </x:si>
  <x:si>
    <x:t xml:space="preserve">Less likely AA instability</x:t>
  </x:si>
  <x:si>
    <x:t xml:space="preserve">FIND-ALAR-001</x:t>
  </x:si>
  <x:si>
    <x:t xml:space="preserve">Excessive rotation</x:t>
  </x:si>
  <x:si>
    <x:t xml:space="preserve">Possible alar ligament laxity</x:t>
  </x:si>
  <x:si>
    <x:t xml:space="preserve">FIND-ALAR-002</x:t>
  </x:si>
  <x:si>
    <x:t xml:space="preserve">Firm end feel normal</x:t>
  </x:si>
  <x:si>
    <x:t xml:space="preserve">Normal ligament integrity</x:t>
  </x:si>
  <x:si>
    <x:t xml:space="preserve">FIND-TAP-001</x:t>
  </x:si>
  <x:si>
    <x:t xml:space="preserve">Localized severe tenderness</x:t>
  </x:si>
  <x:si>
    <x:t xml:space="preserve">Possible stress fracture or bone irritation</x:t>
  </x:si>
  <x:si>
    <x:t xml:space="preserve">FIND-TAP-002</x:t>
  </x:si>
  <x:si>
    <x:t xml:space="preserve">Diffuse tenderness</x:t>
  </x:si>
  <x:si>
    <x:t xml:space="preserve">General thoracic sensitivity</x:t>
  </x:si>
  <x:si>
    <x:t xml:space="preserve">FIND-C1SNAG-001</x:t>
  </x:si>
  <x:si>
    <x:t xml:space="preserve">Improved rotation</x:t>
  </x:si>
  <x:si>
    <x:t xml:space="preserve">Upper cervical dysfunction responsive</x:t>
  </x:si>
  <x:si>
    <x:t xml:space="preserve">FIND-C1SNAG-002</x:t>
  </x:si>
  <x:si>
    <x:t xml:space="preserve">Reduced headache</x:t>
  </x:si>
  <x:si>
    <x:t xml:space="preserve">Cervicogenic involvement likely</x:t>
  </x:si>
  <x:si>
    <x:t xml:space="preserve">FIND-HASNAG-001</x:t>
  </x:si>
  <x:si>
    <x:t xml:space="preserve">Headache reduced</x:t>
  </x:si>
  <x:si>
    <x:t xml:space="preserve">Cervicogenic headache likely</x:t>
  </x:si>
  <x:si>
    <x:t xml:space="preserve">FIND-HASNAG-002</x:t>
  </x:si>
  <x:si>
    <x:t xml:space="preserve">No symptom change</x:t>
  </x:si>
  <x:si>
    <x:t xml:space="preserve">Consider alternative driver</x:t>
  </x:si>
  <x:si>
    <x:t xml:space="preserve">FIND-TXSNAG-001</x:t>
  </x:si>
  <x:si>
    <x:t xml:space="preserve">Improved thoracic rotation</x:t>
  </x:si>
  <x:si>
    <x:t xml:space="preserve">Thoracic mobility dysfunction</x:t>
  </x:si>
  <x:si>
    <x:t xml:space="preserve">FIND-TXSNAG-002</x:t>
  </x:si>
  <x:si>
    <x:t xml:space="preserve">Reduced thoracic pain</x:t>
  </x:si>
  <x:si>
    <x:t xml:space="preserve">Thoracic joint contribution likely</x:t>
  </x:si>
  <x:si>
    <x:t xml:space="preserve">FIND-HIPMWM-001</x:t>
  </x:si>
  <x:si>
    <x:t xml:space="preserve">Improved hip flexion</x:t>
  </x:si>
  <x:si>
    <x:t xml:space="preserve">Hip joint mobility restriction</x:t>
  </x:si>
  <x:si>
    <x:t xml:space="preserve">FIND-HIPMWM-002</x:t>
  </x:si>
  <x:si>
    <x:t xml:space="preserve">Reduced groin pain</x:t>
  </x:si>
  <x:si>
    <x:t xml:space="preserve">Hip joint involvement likely</x:t>
  </x:si>
  <x:si>
    <x:t xml:space="preserve">FIND-TRACT-001</x:t>
  </x:si>
  <x:si>
    <x:t xml:space="preserve">Reduced arm symptoms</x:t>
  </x:si>
  <x:si>
    <x:t xml:space="preserve">Possible nerve root compression</x:t>
  </x:si>
  <x:si>
    <x:t xml:space="preserve">FIND-TRACT-002</x:t>
  </x:si>
  <x:si>
    <x:t xml:space="preserve">Symptoms peripheralized</x:t>
  </x:si>
  <x:si>
    <x:t xml:space="preserve">Technique not tolerated</x:t>
  </x:si>
  <x:si>
    <x:t xml:space="preserve">FIND-TXTRACT-001</x:t>
  </x:si>
  <x:si>
    <x:t xml:space="preserve">Reduced thoracic stiffness</x:t>
  </x:si>
  <x:si>
    <x:t xml:space="preserve">Thoracic hypomobility contributing</x:t>
  </x:si>
  <x:si>
    <x:t xml:space="preserve">FIND-TRIG-001</x:t>
  </x:si>
  <x:si>
    <x:t xml:space="preserve">Familiar symptoms reproduced</x:t>
  </x:si>
  <x:si>
    <x:t xml:space="preserve">Neural mechanosensitivity likely contributing</x:t>
  </x:si>
  <x:si>
    <x:t xml:space="preserve">FIND-TRIG-002</x:t>
  </x:si>
  <x:si>
    <x:t xml:space="preserve">Symptoms change with structural differentiation</x:t>
  </x:si>
  <x:si>
    <x:t xml:space="preserve">Neurodynamic component more likely</x:t>
  </x:si>
  <x:si>
    <x:t xml:space="preserve">FIND-TRIG-003</x:t>
  </x:si>
  <x:si>
    <x:t xml:space="preserve">Range restriction compared with other side</x:t>
  </x:si>
  <x:si>
    <x:t xml:space="preserve">Possible neural mobility restriction or sensitivity</x:t>
  </x:si>
  <x:si>
    <x:t xml:space="preserve">FIND-TRIG-004</x:t>
  </x:si>
  <x:si>
    <x:t xml:space="preserve">Neurodynamic contribution less likely for this test</x:t>
  </x:si>
  <x:si>
    <x:t xml:space="preserve">FIND-GON-001</x:t>
  </x:si>
  <x:si>
    <x:t xml:space="preserve">FIND-GON-002</x:t>
  </x:si>
  <x:si>
    <x:t xml:space="preserve">FIND-GON-003</x:t>
  </x:si>
  <x:si>
    <x:t xml:space="preserve">FIND-GON-004</x:t>
  </x:si>
  <x:si>
    <x:t xml:space="preserve">FIND-RAD-001</x:t>
  </x:si>
  <x:si>
    <x:t xml:space="preserve">FIND-RAD-002</x:t>
  </x:si>
  <x:si>
    <x:t xml:space="preserve">FIND-RAD-003</x:t>
  </x:si>
  <x:si>
    <x:t xml:space="preserve">FIND-RAD-004</x:t>
  </x:si>
  <x:si>
    <x:t xml:space="preserve">FIND-AXIL-001</x:t>
  </x:si>
  <x:si>
    <x:t xml:space="preserve">FIND-AXIL-002</x:t>
  </x:si>
  <x:si>
    <x:t xml:space="preserve">FIND-AXIL-003</x:t>
  </x:si>
  <x:si>
    <x:t xml:space="preserve">FIND-AXIL-004</x:t>
  </x:si>
  <x:si>
    <x:t xml:space="preserve">FIND-MED-001</x:t>
  </x:si>
  <x:si>
    <x:t xml:space="preserve">FIND-MED-002</x:t>
  </x:si>
  <x:si>
    <x:t xml:space="preserve">FIND-MED-003</x:t>
  </x:si>
  <x:si>
    <x:t xml:space="preserve">FIND-MED-004</x:t>
  </x:si>
  <x:si>
    <x:t xml:space="preserve">FIND-ULN-001</x:t>
  </x:si>
  <x:si>
    <x:t xml:space="preserve">FIND-ULN-002</x:t>
  </x:si>
  <x:si>
    <x:t xml:space="preserve">FIND-ULN-003</x:t>
  </x:si>
  <x:si>
    <x:t xml:space="preserve">FIND-ULN-004</x:t>
  </x:si>
  <x:si>
    <x:t xml:space="preserve">FIND-SSN-001</x:t>
  </x:si>
  <x:si>
    <x:t xml:space="preserve">FIND-SSN-002</x:t>
  </x:si>
  <x:si>
    <x:t xml:space="preserve">FIND-SSN-003</x:t>
  </x:si>
  <x:si>
    <x:t xml:space="preserve">FIND-SSN-004</x:t>
  </x:si>
  <x:si>
    <x:t xml:space="preserve">FIND-SLUMP-001</x:t>
  </x:si>
  <x:si>
    <x:t xml:space="preserve">FIND-SLUMP-002</x:t>
  </x:si>
  <x:si>
    <x:t xml:space="preserve">FIND-SLUMP-003</x:t>
  </x:si>
  <x:si>
    <x:t xml:space="preserve">FIND-SLUMP-004</x:t>
  </x:si>
  <x:si>
    <x:t xml:space="preserve">FIND-SLR-001</x:t>
  </x:si>
  <x:si>
    <x:t xml:space="preserve">FIND-SLR-002</x:t>
  </x:si>
  <x:si>
    <x:t xml:space="preserve">FIND-SLR-003</x:t>
  </x:si>
  <x:si>
    <x:t xml:space="preserve">FIND-SLR-004</x:t>
  </x:si>
  <x:si>
    <x:t xml:space="preserve">FIND-TIB-001</x:t>
  </x:si>
  <x:si>
    <x:t xml:space="preserve">FIND-TIB-002</x:t>
  </x:si>
  <x:si>
    <x:t xml:space="preserve">FIND-TIB-003</x:t>
  </x:si>
  <x:si>
    <x:t xml:space="preserve">FIND-TIB-004</x:t>
  </x:si>
  <x:si>
    <x:t xml:space="preserve">FIND-PER-001</x:t>
  </x:si>
  <x:si>
    <x:t xml:space="preserve">FIND-PER-002</x:t>
  </x:si>
  <x:si>
    <x:t xml:space="preserve">FIND-PER-003</x:t>
  </x:si>
  <x:si>
    <x:t xml:space="preserve">FIND-PER-004</x:t>
  </x:si>
  <x:si>
    <x:t xml:space="preserve">FIND-SUR-001</x:t>
  </x:si>
  <x:si>
    <x:t xml:space="preserve">FIND-SUR-002</x:t>
  </x:si>
  <x:si>
    <x:t xml:space="preserve">FIND-SUR-003</x:t>
  </x:si>
  <x:si>
    <x:t xml:space="preserve">FIND-SUR-004</x:t>
  </x:si>
  <x:si>
    <x:t xml:space="preserve">FIND-FEMPKB-001</x:t>
  </x:si>
  <x:si>
    <x:t xml:space="preserve">FIND-FEMPKB-002</x:t>
  </x:si>
  <x:si>
    <x:t xml:space="preserve">FIND-FEMPKB-003</x:t>
  </x:si>
  <x:si>
    <x:t xml:space="preserve">FIND-FEMPKB-004</x:t>
  </x:si>
  <x:si>
    <x:t xml:space="preserve">FIND-FEMSLUMP-001</x:t>
  </x:si>
  <x:si>
    <x:t xml:space="preserve">FIND-FEMSLUMP-002</x:t>
  </x:si>
  <x:si>
    <x:t xml:space="preserve">FIND-FEMSLUMP-003</x:t>
  </x:si>
  <x:si>
    <x:t xml:space="preserve">FIND-FEMSLUMP-004</x:t>
  </x:si>
  <x:si>
    <x:t xml:space="preserve">FIND-LCFN-001</x:t>
  </x:si>
  <x:si>
    <x:t xml:space="preserve">FIND-LCFN-002</x:t>
  </x:si>
  <x:si>
    <x:t xml:space="preserve">FIND-LCFN-003</x:t>
  </x:si>
  <x:si>
    <x:t xml:space="preserve">FIND-LCFN-004</x:t>
  </x:si>
  <x:si>
    <x:t xml:space="preserve">FIND-SAPH-001</x:t>
  </x:si>
  <x:si>
    <x:t xml:space="preserve">FIND-SAPH-002</x:t>
  </x:si>
  <x:si>
    <x:t xml:space="preserve">FIND-SAPH-003</x:t>
  </x:si>
  <x:si>
    <x:t xml:space="preserve">FIND-SAPH-004</x:t>
  </x:si>
  <x:si>
    <x:t xml:space="preserve">FIND-OBT-001</x:t>
  </x:si>
  <x:si>
    <x:t xml:space="preserve">FIND-OBT-002</x:t>
  </x:si>
  <x:si>
    <x:t xml:space="preserve">FIND-OBT-003</x:t>
  </x:si>
  <x:si>
    <x:t xml:space="preserve">FIND-OBT-004</x:t>
  </x:si>
  <x:si>
    <x:t xml:space="preserve">FIND-MEDSL-001</x:t>
  </x:si>
  <x:si>
    <x:t xml:space="preserve">Symptoms settle during and after movement</x:t>
  </x:si>
  <x:si>
    <x:t xml:space="preserve">Technique currently tolerated</x:t>
  </x:si>
  <x:si>
    <x:t xml:space="preserve">FIND-MEDSL-002</x:t>
  </x:si>
  <x:si>
    <x:t xml:space="preserve">Movement range improves without flare</x:t>
  </x:si>
  <x:si>
    <x:t xml:space="preserve">Positive response to neurodynamic loading</x:t>
  </x:si>
  <x:si>
    <x:t xml:space="preserve">FIND-MEDSL-003</x:t>
  </x:si>
  <x:si>
    <x:t xml:space="preserve">Symptoms linger or increase</x:t>
  </x:si>
  <x:si>
    <x:t xml:space="preserve">Reduce intensity or stop and reassess irritability</x:t>
  </x:si>
  <x:si>
    <x:t xml:space="preserve">FIND-MEDTN-001</x:t>
  </x:si>
  <x:si>
    <x:t xml:space="preserve">FIND-MEDTN-002</x:t>
  </x:si>
  <x:si>
    <x:t xml:space="preserve">FIND-MEDTN-003</x:t>
  </x:si>
  <x:si>
    <x:t xml:space="preserve">FIND-SCISL-001</x:t>
  </x:si>
  <x:si>
    <x:t xml:space="preserve">FIND-SCISL-002</x:t>
  </x:si>
  <x:si>
    <x:t xml:space="preserve">FIND-SCISL-003</x:t>
  </x:si>
  <x:si>
    <x:t xml:space="preserve">FIND-SCITN-001</x:t>
  </x:si>
  <x:si>
    <x:t xml:space="preserve">FIND-SCITN-002</x:t>
  </x:si>
  <x:si>
    <x:t xml:space="preserve">FIND-SCITN-003</x:t>
  </x:si>
  <x:si>
    <x:t xml:space="preserve">FIND-CXOPEN-001</x:t>
  </x:si>
  <x:si>
    <x:t xml:space="preserve">Pain/tenderness with nerve palpation</x:t>
  </x:si>
  <x:si>
    <x:t xml:space="preserve">Nerve sensitisation present but cause still requires reasoning</x:t>
  </x:si>
  <x:si>
    <x:t xml:space="preserve">FIND-CXOPEN-002</x:t>
  </x:si>
  <x:si>
    <x:t xml:space="preserve">Reduced tenderness or improved movement after mobilisation</x:t>
  </x:si>
  <x:si>
    <x:t xml:space="preserve">Manual nerve technique appears helpful</x:t>
  </x:si>
  <x:si>
    <x:t xml:space="preserve">FIND-CXOPEN-003</x:t>
  </x:si>
  <x:si>
    <x:t xml:space="preserve">Symptoms flare or peripheralise</x:t>
  </x:si>
  <x:si>
    <x:t xml:space="preserve">Technique not tolerated; modify or stop</x:t>
  </x:si>
  <x:si>
    <x:t xml:space="preserve">FIND-CXCLOSE-001</x:t>
  </x:si>
  <x:si>
    <x:t xml:space="preserve">FIND-CXCLOSE-002</x:t>
  </x:si>
  <x:si>
    <x:t xml:space="preserve">FIND-CXCLOSE-003</x:t>
  </x:si>
  <x:si>
    <x:t xml:space="preserve">FIND-GONMOB-001</x:t>
  </x:si>
  <x:si>
    <x:t xml:space="preserve">FIND-GONMOB-002</x:t>
  </x:si>
  <x:si>
    <x:t xml:space="preserve">FIND-GONMOB-003</x:t>
  </x:si>
  <x:si>
    <x:t xml:space="preserve">FIND-TRIGMOB-001</x:t>
  </x:si>
  <x:si>
    <x:t xml:space="preserve">FIND-TRIGMOB-002</x:t>
  </x:si>
  <x:si>
    <x:t xml:space="preserve">FIND-TRIGMOB-003</x:t>
  </x:si>
  <x:si>
    <x:t xml:space="preserve">FIND-ACCMOB-001</x:t>
  </x:si>
  <x:si>
    <x:t xml:space="preserve">FIND-ACCMOB-002</x:t>
  </x:si>
  <x:si>
    <x:t xml:space="preserve">FIND-ACCMOB-003</x:t>
  </x:si>
  <x:si>
    <x:t xml:space="preserve">FIND-BPMOB-001</x:t>
  </x:si>
  <x:si>
    <x:t xml:space="preserve">FIND-BPMOB-002</x:t>
  </x:si>
  <x:si>
    <x:t xml:space="preserve">FIND-BPMOB-003</x:t>
  </x:si>
  <x:si>
    <x:t xml:space="preserve">FIND-GAIT-001</x:t>
  </x:si>
  <x:si>
    <x:t xml:space="preserve">Antalgic Gait</x:t>
  </x:si>
  <x:si>
    <x:t xml:space="preserve">Pain avoidance strategy</x:t>
  </x:si>
  <x:si>
    <x:t xml:space="preserve">FIND-GAIT-002</x:t>
  </x:si>
  <x:si>
    <x:t xml:space="preserve">Reduced Stance Phase</x:t>
  </x:si>
  <x:si>
    <x:t xml:space="preserve">Possible load intolerance</x:t>
  </x:si>
  <x:si>
    <x:t xml:space="preserve">FIND-GAIT-003</x:t>
  </x:si>
  <x:si>
    <x:t xml:space="preserve">Trendelenburg Pattern</x:t>
  </x:si>
  <x:si>
    <x:t xml:space="preserve">Hip abductor weakness</x:t>
  </x:si>
  <x:si>
    <x:t xml:space="preserve">FIND-GAIT-004</x:t>
  </x:si>
  <x:si>
    <x:t xml:space="preserve">Normal</x:t>
  </x:si>
  <x:si>
    <x:t xml:space="preserve">No obvious gait abnormality</x:t>
  </x:si>
  <x:si>
    <x:t xml:space="preserve">FIND-GAIT-005</x:t>
  </x:si>
  <x:si>
    <x:t xml:space="preserve">Reduced Stride Length</x:t>
  </x:si>
  <x:si>
    <x:t xml:space="preserve">Mobility restriction or reduced confidence</x:t>
  </x:si>
  <x:si>
    <x:t xml:space="preserve">FIND-GAIT-006</x:t>
  </x:si>
  <x:si>
    <x:t xml:space="preserve">Reduced Arm Swing</x:t>
  </x:si>
  <x:si>
    <x:t xml:space="preserve">Thoracic, cervical or shoulder restriction</x:t>
  </x:si>
  <x:si>
    <x:t xml:space="preserve">FIND-GAIT-007</x:t>
  </x:si>
  <x:si>
    <x:t xml:space="preserve">Circumduction</x:t>
  </x:si>
  <x:si>
    <x:t xml:space="preserve">Possible hip, knee or ankle clearance compensation</x:t>
  </x:si>
  <x:si>
    <x:t xml:space="preserve">FIND-GAIT-008</x:t>
  </x:si>
  <x:si>
    <x:t xml:space="preserve">Reduced Push Off</x:t>
  </x:si>
  <x:si>
    <x:t xml:space="preserve">Possible calf, foot or load tolerance deficit</x:t>
  </x:si>
  <x:si>
    <x:t xml:space="preserve">FIND-GAIT-009</x:t>
  </x:si>
  <x:si>
    <x:t xml:space="preserve">Foot External Rotation</x:t>
  </x:si>
  <x:si>
    <x:t xml:space="preserve">Lower limb compensation strategy</x:t>
  </x:si>
  <x:si>
    <x:t xml:space="preserve">FIND-GAIT-010</x:t>
  </x:si>
  <x:si>
    <x:t xml:space="preserve">Foot Internal Rotation</x:t>
  </x:si>
  <x:si>
    <x:t xml:space="preserve">Lower limb control deficit</x:t>
  </x:si>
  <x:si>
    <x:t xml:space="preserve">FIND-STS-001</x:t>
  </x:si>
  <x:si>
    <x:t xml:space="preserve">Uses Hands</x:t>
  </x:si>
  <x:si>
    <x:t xml:space="preserve">Reduced lower limb strength</x:t>
  </x:si>
  <x:si>
    <x:t xml:space="preserve">FIND-STS-002</x:t>
  </x:si>
  <x:si>
    <x:t xml:space="preserve">Weight Shift</x:t>
  </x:si>
  <x:si>
    <x:t xml:space="preserve">Offloading affected side</x:t>
  </x:si>
  <x:si>
    <x:t xml:space="preserve">FIND-STS-003</x:t>
  </x:si>
  <x:si>
    <x:t xml:space="preserve">Pain Reproduced</x:t>
  </x:si>
  <x:si>
    <x:t xml:space="preserve">Functional aggravation</x:t>
  </x:si>
  <x:si>
    <x:t xml:space="preserve">FIND-STS-004</x:t>
  </x:si>
  <x:si>
    <x:t xml:space="preserve">Functional task tolerated</x:t>
  </x:si>
  <x:si>
    <x:t xml:space="preserve">FIND-STS-005</x:t>
  </x:si>
  <x:si>
    <x:t xml:space="preserve">Slow Transfer</x:t>
  </x:si>
  <x:si>
    <x:t xml:space="preserve">Reduced power generation</x:t>
  </x:si>
  <x:si>
    <x:t xml:space="preserve">FIND-STS-006</x:t>
  </x:si>
  <x:si>
    <x:t xml:space="preserve">Poor Eccentric Control</x:t>
  </x:si>
  <x:si>
    <x:t xml:space="preserve">Reduced movement control</x:t>
  </x:si>
  <x:si>
    <x:t xml:space="preserve">FIND-STS-007</x:t>
  </x:si>
  <x:si>
    <x:t xml:space="preserve">Knee Valgus</x:t>
  </x:si>
  <x:si>
    <x:t xml:space="preserve">Dynamic lower limb control deficit</x:t>
  </x:si>
  <x:si>
    <x:t xml:space="preserve">FIND-STS-008</x:t>
  </x:si>
  <x:si>
    <x:t xml:space="preserve">Trunk Momentum Strategy</x:t>
  </x:si>
  <x:si>
    <x:t xml:space="preserve">Reduced strength or poor transfer strategy</x:t>
  </x:si>
  <x:si>
    <x:t xml:space="preserve">FIND-SLB-001</x:t>
  </x:si>
  <x:si>
    <x:t xml:space="preserve">Less Than 10 Seconds</x:t>
  </x:si>
  <x:si>
    <x:t xml:space="preserve">Reduced balance</x:t>
  </x:si>
  <x:si>
    <x:t xml:space="preserve">FIND-SLB-002</x:t>
  </x:si>
  <x:si>
    <x:t xml:space="preserve">Excessive Sway</x:t>
  </x:si>
  <x:si>
    <x:t xml:space="preserve">Impaired stability</x:t>
  </x:si>
  <x:si>
    <x:t xml:space="preserve">FIND-SLB-003</x:t>
  </x:si>
  <x:si>
    <x:t xml:space="preserve">Trendelenburg</x:t>
  </x:si>
  <x:si>
    <x:t xml:space="preserve">Hip abductor dysfunction</x:t>
  </x:si>
  <x:si>
    <x:t xml:space="preserve">FIND-SLB-004</x:t>
  </x:si>
  <x:si>
    <x:t xml:space="preserve">Functional balance intact</x:t>
  </x:si>
  <x:si>
    <x:t xml:space="preserve">FIND-SLB-005</x:t>
  </x:si>
  <x:si>
    <x:t xml:space="preserve">Trunk Lean</x:t>
  </x:si>
  <x:si>
    <x:t xml:space="preserve">Balance compensation</x:t>
  </x:si>
  <x:si>
    <x:t xml:space="preserve">FIND-SLB-006</x:t>
  </x:si>
  <x:si>
    <x:t xml:space="preserve">Foot Instability</x:t>
  </x:si>
  <x:si>
    <x:t xml:space="preserve">Reduced foot or ankle control</x:t>
  </x:si>
  <x:si>
    <x:t xml:space="preserve">FIND-SLB-007</x:t>
  </x:si>
  <x:si>
    <x:t xml:space="preserve">Loss Of Balance</x:t>
  </x:si>
  <x:si>
    <x:t xml:space="preserve">Reduced single leg stability</x:t>
  </x:si>
  <x:si>
    <x:t xml:space="preserve">FIND-SLB-008</x:t>
  </x:si>
  <x:si>
    <x:t xml:space="preserve">FIND-SQUAT-001</x:t>
  </x:si>
  <x:si>
    <x:t xml:space="preserve">Heel Lift</x:t>
  </x:si>
  <x:si>
    <x:t xml:space="preserve">Limited ankle mobility</x:t>
  </x:si>
  <x:si>
    <x:t xml:space="preserve">FIND-SQUAT-002</x:t>
  </x:si>
  <x:si>
    <x:t xml:space="preserve">Dynamic control deficit</x:t>
  </x:si>
  <x:si>
    <x:t xml:space="preserve">FIND-SQUAT-003</x:t>
  </x:si>
  <x:si>
    <x:t xml:space="preserve">Load avoidance</x:t>
  </x:si>
  <x:si>
    <x:t xml:space="preserve">FIND-SQUAT-004</x:t>
  </x:si>
  <x:si>
    <x:t xml:space="preserve">Functional squat pattern</x:t>
  </x:si>
  <x:si>
    <x:t xml:space="preserve">FIND-SQUAT-005</x:t>
  </x:si>
  <x:si>
    <x:t xml:space="preserve">Knee Varus</x:t>
  </x:si>
  <x:si>
    <x:t xml:space="preserve">Lower limb alignment or control deficit</x:t>
  </x:si>
  <x:si>
    <x:t xml:space="preserve">FIND-SQUAT-006</x:t>
  </x:si>
  <x:si>
    <x:t xml:space="preserve">Forward Trunk Lean</x:t>
  </x:si>
  <x:si>
    <x:t xml:space="preserve">Hip or ankle mobility restriction</x:t>
  </x:si>
  <x:si>
    <x:t xml:space="preserve">FIND-SQUAT-007</x:t>
  </x:si>
  <x:si>
    <x:t xml:space="preserve">Reduced Depth</x:t>
  </x:si>
  <x:si>
    <x:t xml:space="preserve">Mobility limitation or load avoidance</x:t>
  </x:si>
  <x:si>
    <x:t xml:space="preserve">FIND-SQUAT-008</x:t>
  </x:si>
  <x:si>
    <x:t xml:space="preserve">FIND-SD-001</x:t>
  </x:si>
  <x:si>
    <x:t xml:space="preserve">Dynamic Valgus</x:t>
  </x:si>
  <x:si>
    <x:t xml:space="preserve">Hip control deficit</x:t>
  </x:si>
  <x:si>
    <x:t xml:space="preserve">FIND-SD-002</x:t>
  </x:si>
  <x:si>
    <x:t xml:space="preserve">Pelvic Drop</x:t>
  </x:si>
  <x:si>
    <x:t xml:space="preserve">FIND-SD-003</x:t>
  </x:si>
  <x:si>
    <x:t xml:space="preserve">FIND-SD-004</x:t>
  </x:si>
  <x:si>
    <x:t xml:space="preserve">Functional control intact</x:t>
  </x:si>
  <x:si>
    <x:t xml:space="preserve">FIND-SD-005</x:t>
  </x:si>
  <x:si>
    <x:t xml:space="preserve">Compensation strategy</x:t>
  </x:si>
  <x:si>
    <x:t xml:space="preserve">FIND-SD-006</x:t>
  </x:si>
  <x:si>
    <x:t xml:space="preserve">Reduced lowering control</x:t>
  </x:si>
  <x:si>
    <x:t xml:space="preserve">FIND-SD-007</x:t>
  </x:si>
  <x:si>
    <x:t xml:space="preserve">Reduced dynamic stability</x:t>
  </x:si>
  <x:si>
    <x:t xml:space="preserve">FIND-SD-008</x:t>
  </x:si>
  <x:si>
    <x:t xml:space="preserve">Knee Wobble</x:t>
  </x:si>
  <x:si>
    <x:t xml:space="preserve">Poor frontal plane control</x:t>
  </x:si>
  <x:si>
    <x:t xml:space="preserve">FIND-HH-001</x:t>
  </x:si>
  <x:si>
    <x:t xml:space="preserve">Lumbar Dominant</x:t>
  </x:si>
  <x:si>
    <x:t xml:space="preserve">Reduced hip contribution</x:t>
  </x:si>
  <x:si>
    <x:t xml:space="preserve">FIND-HH-002</x:t>
  </x:si>
  <x:si>
    <x:t xml:space="preserve">Hip Dominant</x:t>
  </x:si>
  <x:si>
    <x:t xml:space="preserve">Efficient hinge strategy</x:t>
  </x:si>
  <x:si>
    <x:t xml:space="preserve">FIND-HH-003</x:t>
  </x:si>
  <x:si>
    <x:t xml:space="preserve">FIND-HH-004</x:t>
  </x:si>
  <x:si>
    <x:t xml:space="preserve">Fear Avoidance</x:t>
  </x:si>
  <x:si>
    <x:t xml:space="preserve">Movement apprehension</x:t>
  </x:si>
  <x:si>
    <x:t xml:space="preserve">FIND-HH-005</x:t>
  </x:si>
  <x:si>
    <x:t xml:space="preserve">Reduced Hip Flexion</x:t>
  </x:si>
  <x:si>
    <x:t xml:space="preserve">Hip mobility restriction</x:t>
  </x:si>
  <x:si>
    <x:t xml:space="preserve">FIND-HH-006</x:t>
  </x:si>
  <x:si>
    <x:t xml:space="preserve">Knee Dominant Strategy</x:t>
  </x:si>
  <x:si>
    <x:t xml:space="preserve">Poor hinge pattern</x:t>
  </x:si>
  <x:si>
    <x:t xml:space="preserve">FIND-HH-007</x:t>
  </x:si>
  <x:si>
    <x:t xml:space="preserve">Load avoidance strategy</x:t>
  </x:si>
  <x:si>
    <x:t xml:space="preserve">FIND-HH-008</x:t>
  </x:si>
  <x:si>
    <x:t xml:space="preserve">Functional hinge pattern</x:t>
  </x:si>
  <x:si>
    <x:t xml:space="preserve">FIND-FB-001</x:t>
  </x:si>
  <x:si>
    <x:t xml:space="preserve">Fingers To Knees</x:t>
  </x:si>
  <x:si>
    <x:t xml:space="preserve">Marked restriction</x:t>
  </x:si>
  <x:si>
    <x:t xml:space="preserve">FIND-FB-002</x:t>
  </x:si>
  <x:si>
    <x:t xml:space="preserve">Fingers To Shins</x:t>
  </x:si>
  <x:si>
    <x:t xml:space="preserve">Moderate restriction</x:t>
  </x:si>
  <x:si>
    <x:t xml:space="preserve">FIND-FB-003</x:t>
  </x:si>
  <x:si>
    <x:t xml:space="preserve">Fingers To Floor</x:t>
  </x:si>
  <x:si>
    <x:t xml:space="preserve">Normal mobility</x:t>
  </x:si>
  <x:si>
    <x:t xml:space="preserve">FIND-FB-004</x:t>
  </x:si>
  <x:si>
    <x:t xml:space="preserve">Symptom provocation</x:t>
  </x:si>
  <x:si>
    <x:t xml:space="preserve">FIND-FB-005</x:t>
  </x:si>
  <x:si>
    <x:t xml:space="preserve">Lumbar Flexion Dominant</x:t>
  </x:si>
  <x:si>
    <x:t xml:space="preserve">FIND-FB-006</x:t>
  </x:si>
  <x:si>
    <x:t xml:space="preserve">Hamstring Restriction</x:t>
  </x:si>
  <x:si>
    <x:t xml:space="preserve">Posterior chain limitation</x:t>
  </x:si>
  <x:si>
    <x:t xml:space="preserve">FIND-FB-007</x:t>
  </x:si>
  <x:si>
    <x:t xml:space="preserve">FIND-FB-008</x:t>
  </x:si>
  <x:si>
    <x:t xml:space="preserve">FIND-OH-001</x:t>
  </x:si>
  <x:si>
    <x:t xml:space="preserve">FIND-OH-002</x:t>
  </x:si>
  <x:si>
    <x:t xml:space="preserve">Thoracic Compensation</x:t>
  </x:si>
  <x:si>
    <x:t xml:space="preserve">Mobility limitation</x:t>
  </x:si>
  <x:si>
    <x:t xml:space="preserve">FIND-OH-003</x:t>
  </x:si>
  <x:si>
    <x:t xml:space="preserve">Shoulder Compensation</x:t>
  </x:si>
  <x:si>
    <x:t xml:space="preserve">Motor control issue</x:t>
  </x:si>
  <x:si>
    <x:t xml:space="preserve">FIND-OH-004</x:t>
  </x:si>
  <x:si>
    <x:t xml:space="preserve">FIND-OH-005</x:t>
  </x:si>
  <x:si>
    <x:t xml:space="preserve">Reduced Shoulder Flexion</x:t>
  </x:si>
  <x:si>
    <x:t xml:space="preserve">Shoulder mobility restriction</x:t>
  </x:si>
  <x:si>
    <x:t xml:space="preserve">FIND-OH-006</x:t>
  </x:si>
  <x:si>
    <x:t xml:space="preserve">Scapular Dyskinesis</x:t>
  </x:si>
  <x:si>
    <x:t xml:space="preserve">Scapular control deficit</x:t>
  </x:si>
  <x:si>
    <x:t xml:space="preserve">FIND-OH-007</x:t>
  </x:si>
  <x:si>
    <x:t xml:space="preserve">Rib Flare</x:t>
  </x:si>
  <x:si>
    <x:t xml:space="preserve">Trunk control compensation</x:t>
  </x:si>
  <x:si>
    <x:t xml:space="preserve">FIND-OH-008</x:t>
  </x:si>
  <x:si>
    <x:t xml:space="preserve">Side To Side Asymmetry</x:t>
  </x:si>
  <x:si>
    <x:t xml:space="preserve">Unilateral mobility or control deficit</x:t>
  </x:si>
  <x:si>
    <x:t xml:space="preserve">FIND-FHT-001</x:t>
  </x:si>
  <x:si>
    <x:t xml:space="preserve">Pain</x:t>
  </x:si>
  <x:si>
    <x:t xml:space="preserve">Cervical symptom provocation</x:t>
  </x:si>
  <x:si>
    <x:t xml:space="preserve">FIND-FHT-002</x:t>
  </x:si>
  <x:si>
    <x:t xml:space="preserve">Restriction</x:t>
  </x:si>
  <x:si>
    <x:t xml:space="preserve">Reduced functional ROM</x:t>
  </x:si>
  <x:si>
    <x:t xml:space="preserve">FIND-FHT-003</x:t>
  </x:si>
  <x:si>
    <x:t xml:space="preserve">Dizziness</x:t>
  </x:si>
  <x:si>
    <x:t xml:space="preserve">Vestibular contribution</x:t>
  </x:si>
  <x:si>
    <x:t xml:space="preserve">FIND-FHT-004</x:t>
  </x:si>
  <x:si>
    <x:t xml:space="preserve">Functional movement tolerated</x:t>
  </x:si>
  <x:si>
    <x:t xml:space="preserve">FIND-FHT-005</x:t>
  </x:si>
  <x:si>
    <x:t xml:space="preserve">Reduced Left Rotation</x:t>
  </x:si>
  <x:si>
    <x:t xml:space="preserve">Left cervical rotation restriction</x:t>
  </x:si>
  <x:si>
    <x:t xml:space="preserve">FIND-FHT-006</x:t>
  </x:si>
  <x:si>
    <x:t xml:space="preserve">Reduced Right Rotation</x:t>
  </x:si>
  <x:si>
    <x:t xml:space="preserve">Right cervical rotation restriction</x:t>
  </x:si>
  <x:si>
    <x:t xml:space="preserve">FIND-FHT-007</x:t>
  </x:si>
  <x:si>
    <x:t xml:space="preserve">Trunk Compensation</x:t>
  </x:si>
  <x:si>
    <x:t xml:space="preserve">Cervical movement avoidance</x:t>
  </x:si>
  <x:si>
    <x:t xml:space="preserve">FIND-FHT-008</x:t>
  </x:si>
  <x:si>
    <x:t xml:space="preserve">Hesitant Movement</x:t>
  </x:si>
  <x:si>
    <x:t xml:space="preserve">Fear avoidance behaviour</x:t>
  </x:si>
  <x:si>
    <x:t xml:space="preserve">FIND-DNF-001</x:t>
  </x:si>
  <x:si>
    <x:t xml:space="preserve">SCM Compensation</x:t>
  </x:si>
  <x:si>
    <x:t xml:space="preserve">Poor DNF recruitment</x:t>
  </x:si>
  <x:si>
    <x:t xml:space="preserve">FIND-DNF-002</x:t>
  </x:si>
  <x:si>
    <x:t xml:space="preserve">Early Fatigue</x:t>
  </x:si>
  <x:si>
    <x:t xml:space="preserve">Reduced endurance</x:t>
  </x:si>
  <x:si>
    <x:t xml:space="preserve">FIND-DNF-003</x:t>
  </x:si>
  <x:si>
    <x:t xml:space="preserve">Unable To Perform</x:t>
  </x:si>
  <x:si>
    <x:t xml:space="preserve">Significant deficit</x:t>
  </x:si>
  <x:si>
    <x:t xml:space="preserve">FIND-DNF-004</x:t>
  </x:si>
  <x:si>
    <x:t xml:space="preserve">Adequate endurance</x:t>
  </x:si>
  <x:si>
    <x:t xml:space="preserve">FIND-DNF-005</x:t>
  </x:si>
  <x:si>
    <x:t xml:space="preserve">Tremor</x:t>
  </x:si>
  <x:si>
    <x:t xml:space="preserve">Motor control deficit</x:t>
  </x:si>
  <x:si>
    <x:t xml:space="preserve">FIND-DNF-006</x:t>
  </x:si>
  <x:si>
    <x:t xml:space="preserve">Loss Of Chin Tuck</x:t>
  </x:si>
  <x:si>
    <x:t xml:space="preserve">Deep neck flexor fatigue</x:t>
  </x:si>
  <x:si>
    <x:t xml:space="preserve">FIND-DNF-007</x:t>
  </x:si>
  <x:si>
    <x:t xml:space="preserve">FIND-DNF-008</x:t>
  </x:si>
  <x:si>
    <x:t xml:space="preserve">Unable To Hold Position</x:t>
  </x:si>
  <x:si>
    <x:t xml:space="preserve">Reduced endurance or poor motor control</x:t>
  </x:si>
  <x:si>
    <x:t xml:space="preserve">FIND-NPRS-001</x:t>
  </x:si>
  <x:si>
    <x:t xml:space="preserve">No pain</x:t>
  </x:si>
  <x:si>
    <x:t xml:space="preserve">FIND-NPRS-002</x:t>
  </x:si>
  <x:si>
    <x:t xml:space="preserve">Mild pain</x:t>
  </x:si>
  <x:si>
    <x:t xml:space="preserve">FIND-NPRS-003</x:t>
  </x:si>
  <x:si>
    <x:t xml:space="preserve">Moderate pain</x:t>
  </x:si>
  <x:si>
    <x:t xml:space="preserve">FIND-NPRS-004</x:t>
  </x:si>
  <x:si>
    <x:t xml:space="preserve">Severe pain</x:t>
  </x:si>
  <x:si>
    <x:t xml:space="preserve">FIND-PSFS-001</x:t>
  </x:si>
  <x:si>
    <x:t xml:space="preserve">0-3</x:t>
  </x:si>
  <x:si>
    <x:t xml:space="preserve">Severe functional limitation</x:t>
  </x:si>
  <x:si>
    <x:t xml:space="preserve">FIND-PSFS-002</x:t>
  </x:si>
  <x:si>
    <x:t xml:space="preserve">Moderate functional limitation</x:t>
  </x:si>
  <x:si>
    <x:t xml:space="preserve">FIND-PSFS-003</x:t>
  </x:si>
  <x:si>
    <x:t xml:space="preserve">Mild functional limitation</x:t>
  </x:si>
  <x:si>
    <x:t xml:space="preserve">FIND-PSFS-004</x:t>
  </x:si>
  <x:si>
    <x:t xml:space="preserve">Full function</x:t>
  </x:si>
  <x:si>
    <x:t xml:space="preserve">FIND-NDI-001</x:t>
  </x:si>
  <x:si>
    <x:t xml:space="preserve">0-4</x:t>
  </x:si>
  <x:si>
    <x:t xml:space="preserve">No disability</x:t>
  </x:si>
  <x:si>
    <x:t xml:space="preserve">FIND-NDI-002</x:t>
  </x:si>
  <x:si>
    <x:t xml:space="preserve">5-14</x:t>
  </x:si>
  <x:si>
    <x:t xml:space="preserve">Mild disability</x:t>
  </x:si>
  <x:si>
    <x:t xml:space="preserve">FIND-NDI-003</x:t>
  </x:si>
  <x:si>
    <x:t xml:space="preserve">15-24</x:t>
  </x:si>
  <x:si>
    <x:t xml:space="preserve">Moderate disability</x:t>
  </x:si>
  <x:si>
    <x:t xml:space="preserve">FIND-NDI-004</x:t>
  </x:si>
  <x:si>
    <x:t xml:space="preserve">25-34</x:t>
  </x:si>
  <x:si>
    <x:t xml:space="preserve">Severe disability</x:t>
  </x:si>
  <x:si>
    <x:t xml:space="preserve">FIND-NDI-005</x:t>
  </x:si>
  <x:si>
    <x:t xml:space="preserve">35+</x:t>
  </x:si>
  <x:si>
    <x:t xml:space="preserve">Complete disability</x:t>
  </x:si>
  <x:si>
    <x:t xml:space="preserve">DosageID</x:t>
  </x:si>
  <x:si>
    <x:t xml:space="preserve">Sets</x:t>
  </x:si>
  <x:si>
    <x:t xml:space="preserve">Reps</x:t>
  </x:si>
  <x:si>
    <x:t xml:space="preserve">Time</x:t>
  </x:si>
  <x:si>
    <x:t xml:space="preserve">Dosage</x:t>
  </x:si>
  <x:si>
    <x:t xml:space="preserve">Dosage Notes</x:t>
  </x:si>
  <x:si>
    <x:t xml:space="preserve">Regression</x:t>
  </x:si>
  <x:si>
    <x:t xml:space="preserve">Progression</x:t>
  </x:si>
  <x:si>
    <x:t xml:space="preserve">DOS-TRA-001</x:t>
  </x:si>
  <x:si>
    <x:t xml:space="preserve">5 sec</x:t>
  </x:si>
  <x:si>
    <x:t xml:space="preserve">Daily</x:t>
  </x:si>
  <x:si>
    <x:t xml:space="preserve">Pain-free breathing focus</x:t>
  </x:si>
  <x:si>
    <x:t xml:space="preserve">Tactile cueing</x:t>
  </x:si>
  <x:si>
    <x:t xml:space="preserve">Add arm and leg movement</x:t>
  </x:si>
  <x:si>
    <x:t xml:space="preserve">DOS-ROLL-001</x:t>
  </x:si>
  <x:si>
    <x:t xml:space="preserve">Controlled</x:t>
  </x:si>
  <x:si>
    <x:t xml:space="preserve">Smooth movement patterns</x:t>
  </x:si>
  <x:si>
    <x:t xml:space="preserve">Assisted rolling</x:t>
  </x:si>
  <x:si>
    <x:t xml:space="preserve">Weighted rolling patterns</x:t>
  </x:si>
  <x:si>
    <x:t xml:space="preserve">DOS-CHOP-001</x:t>
  </x:si>
  <x:si>
    <x:t xml:space="preserve">Tall kneeling</x:t>
  </x:si>
  <x:si>
    <x:t xml:space="preserve">Standing split stance</x:t>
  </x:si>
  <x:si>
    <x:t xml:space="preserve">DOS-BAL-001</x:t>
  </x:si>
  <x:si>
    <x:t xml:space="preserve">30 sec</x:t>
  </x:si>
  <x:si>
    <x:t xml:space="preserve">Hold</x:t>
  </x:si>
  <x:si>
    <x:t xml:space="preserve">Near support if required</x:t>
  </x:si>
  <x:si>
    <x:t xml:space="preserve">Wide BOS</x:t>
  </x:si>
  <x:si>
    <x:t xml:space="preserve">Foam surface or eyes closed</x:t>
  </x:si>
  <x:si>
    <x:t xml:space="preserve">DOS-VEST-001</x:t>
  </x:si>
  <x:si>
    <x:t xml:space="preserve">Stop if symptoms flare severely</x:t>
  </x:si>
  <x:si>
    <x:t xml:space="preserve">Smaller range</x:t>
  </x:si>
  <x:si>
    <x:t xml:space="preserve">Standing or walking head turns</x:t>
  </x:si>
  <x:si>
    <x:t xml:space="preserve">DOS-LUM-001</x:t>
  </x:si>
  <x:si>
    <x:t xml:space="preserve">Static quadruped</x:t>
  </x:si>
  <x:si>
    <x:t xml:space="preserve">Add limb movement</x:t>
  </x:si>
  <x:si>
    <x:t xml:space="preserve">DOS-CX-001</x:t>
  </x:si>
  <x:si>
    <x:t xml:space="preserve">Avoid SCM substitution</x:t>
  </x:si>
  <x:si>
    <x:t xml:space="preserve">Chin nod only</x:t>
  </x:si>
  <x:si>
    <x:t xml:space="preserve">Functional cervical loading</x:t>
  </x:si>
  <x:si>
    <x:t xml:space="preserve">DOS-SP-001</x:t>
  </x:si>
  <x:si>
    <x:t xml:space="preserve">Smaller lift</x:t>
  </x:si>
  <x:si>
    <x:t xml:space="preserve">Add endurance</x:t>
  </x:si>
  <x:si>
    <x:t xml:space="preserve">DOS-SP-002</x:t>
  </x:si>
  <x:si>
    <x:t xml:space="preserve">Avoid pelvic rotation</x:t>
  </x:si>
  <x:si>
    <x:t xml:space="preserve">Arm only</x:t>
  </x:si>
  <x:si>
    <x:t xml:space="preserve">Add resistance</x:t>
  </x:si>
  <x:si>
    <x:t xml:space="preserve">DOS-HIP-001</x:t>
  </x:si>
  <x:si>
    <x:t xml:space="preserve">Maintain spinal alignment</x:t>
  </x:si>
  <x:si>
    <x:t xml:space="preserve">Dowel assisted</x:t>
  </x:si>
  <x:si>
    <x:t xml:space="preserve">Deadlift loading</x:t>
  </x:si>
  <x:si>
    <x:t xml:space="preserve">DOS-RC-001</x:t>
  </x:si>
  <x:si>
    <x:t xml:space="preserve">Pain-free effort</x:t>
  </x:si>
  <x:si>
    <x:t xml:space="preserve">Reduced resistance</x:t>
  </x:si>
  <x:si>
    <x:t xml:space="preserve">Dynamic cuff loading</x:t>
  </x:si>
  <x:si>
    <x:t xml:space="preserve">DOS-SA-001</x:t>
  </x:si>
  <x:si>
    <x:t xml:space="preserve">Maintain scapular control</x:t>
  </x:si>
  <x:si>
    <x:t xml:space="preserve">Wall variation</x:t>
  </x:si>
  <x:si>
    <x:t xml:space="preserve">Weighted progression</x:t>
  </x:si>
  <x:si>
    <x:t xml:space="preserve">DOS-C1SNAG-001</x:t>
  </x:si>
  <x:si>
    <x:t xml:space="preserve">Maintain symptom-free movement</x:t>
  </x:si>
  <x:si>
    <x:t xml:space="preserve">Add overpressure</x:t>
  </x:si>
  <x:si>
    <x:t xml:space="preserve">DOS-HASNAG-001</x:t>
  </x:si>
  <x:si>
    <x:t xml:space="preserve">Reduce headache without flare</x:t>
  </x:si>
  <x:si>
    <x:t xml:space="preserve">Reduced movement</x:t>
  </x:si>
  <x:si>
    <x:t xml:space="preserve">Add self SNAG</x:t>
  </x:si>
  <x:si>
    <x:t xml:space="preserve">DOS-TXSNAG-001</x:t>
  </x:si>
  <x:si>
    <x:t xml:space="preserve">3/7</x:t>
  </x:si>
  <x:si>
    <x:t xml:space="preserve">Maintain thoracic alignment</x:t>
  </x:si>
  <x:si>
    <x:t xml:space="preserve">Smaller rotation</x:t>
  </x:si>
  <x:si>
    <x:t xml:space="preserve">Add breathing integration</x:t>
  </x:si>
  <x:si>
    <x:t xml:space="preserve">DOS-HIPMWM-001</x:t>
  </x:si>
  <x:si>
    <x:t xml:space="preserve">Maintain pain-free hip loading</x:t>
  </x:si>
  <x:si>
    <x:t xml:space="preserve">Supported lunge</x:t>
  </x:si>
  <x:si>
    <x:t xml:space="preserve">Increase load depth</x:t>
  </x:si>
  <x:si>
    <x:t xml:space="preserve">DOS-TRACT-001</x:t>
  </x:si>
  <x:si>
    <x:t xml:space="preserve">Monitor neurological response</x:t>
  </x:si>
  <x:si>
    <x:t xml:space="preserve">Lighter traction</x:t>
  </x:si>
  <x:si>
    <x:t xml:space="preserve">Add shoulder abduction</x:t>
  </x:si>
  <x:si>
    <x:t xml:space="preserve">DOS-TXTRACT-001</x:t>
  </x:si>
  <x:si>
    <x:t xml:space="preserve">Reduce thoracic stiffness</x:t>
  </x:si>
  <x:si>
    <x:t xml:space="preserve">Lower force</x:t>
  </x:si>
  <x:si>
    <x:t xml:space="preserve">Combine mobilisation</x:t>
  </x:si>
  <x:si>
    <x:t xml:space="preserve">DOS-MED-SLIDER-001</x:t>
  </x:si>
  <x:si>
    <x:t xml:space="preserve">5-30</x:t>
  </x:si>
  <x:si>
    <x:t xml:space="preserve">Hourly to daily once safe/effective</x:t>
  </x:si>
  <x:si>
    <x:t xml:space="preserve">No clinical pain during or after; establish 24hr response before homecare</x:t>
  </x:si>
  <x:si>
    <x:t xml:space="preserve">Smaller range / fewer reps / more rest</x:t>
  </x:si>
  <x:si>
    <x:t xml:space="preserve">Increase reps or frequency only if no adverse effects</x:t>
  </x:si>
  <x:si>
    <x:t xml:space="preserve">DOS-MED-TENSION-001</x:t>
  </x:si>
  <x:si>
    <x:t xml:space="preserve">5-10</x:t>
  </x:si>
  <x:si>
    <x:t xml:space="preserve">Clinic first; home only after stable response</x:t>
  </x:si>
  <x:si>
    <x:t xml:space="preserve">Symptoms must settle completely before each new movement</x:t>
  </x:si>
  <x:si>
    <x:t xml:space="preserve">Return to slider</x:t>
  </x:si>
  <x:si>
    <x:t xml:space="preserve">Add second-ended tension or increase range</x:t>
  </x:si>
  <x:si>
    <x:t xml:space="preserve">DOS-SCI-SLIDER-001</x:t>
  </x:si>
  <x:si>
    <x:t xml:space="preserve">Use small frequent repetitions; do not reapply if adverse effects occur</x:t>
  </x:si>
  <x:si>
    <x:t xml:space="preserve">DOS-SCI-TENSION-001</x:t>
  </x:si>
  <x:si>
    <x:t xml:space="preserve">Increase range or add second-ended tension</x:t>
  </x:si>
  <x:si>
    <x:t xml:space="preserve">DOS-CX-OPENER-001</x:t>
  </x:si>
  <x:si>
    <x:t xml:space="preserve">1-3</x:t>
  </x:si>
  <x:si>
    <x:t xml:space="preserve">30-60 sec</x:t>
  </x:si>
  <x:si>
    <x:t xml:space="preserve">Clinic based</x:t>
  </x:si>
  <x:si>
    <x:t xml:space="preserve">If dramatic improvement occurs, do not repeat until next visit</x:t>
  </x:si>
  <x:si>
    <x:t xml:space="preserve">Shorter hold / gentler glide</x:t>
  </x:si>
  <x:si>
    <x:t xml:space="preserve">Add active shoulder depression or neurodynamic position</x:t>
  </x:si>
  <x:si>
    <x:t xml:space="preserve">DOS-CX-CLOSER-001</x:t>
  </x:si>
  <x:si>
    <x:t xml:space="preserve">Use for appropriate closing dysfunction, not irritable tension dysfunction</x:t>
  </x:si>
  <x:si>
    <x:t xml:space="preserve">Gentler glide / opener first</x:t>
  </x:si>
  <x:si>
    <x:t xml:space="preserve">DOS-GON-MOB-001</x:t>
  </x:si>
  <x:si>
    <x:t xml:space="preserve">3-6</x:t>
  </x:si>
  <x:si>
    <x:t xml:space="preserve">Gentle rolling/tensioning only; monitor headache response</x:t>
  </x:si>
  <x:si>
    <x:t xml:space="preserve">Reduce pressure</x:t>
  </x:si>
  <x:si>
    <x:t xml:space="preserve">Add active chin tuck and contralateral LF</x:t>
  </x:si>
  <x:si>
    <x:t xml:space="preserve">DOS-TRIG-MOB-001</x:t>
  </x:si>
  <x:si>
    <x:t xml:space="preserve">Gentle rolling only around facial branches</x:t>
  </x:si>
  <x:si>
    <x:t xml:space="preserve">Add broader branch mapping</x:t>
  </x:si>
  <x:si>
    <x:t xml:space="preserve">DOS-ACC-MOB-001</x:t>
  </x:si>
  <x:si>
    <x:t xml:space="preserve">Gentle rolling/tensioning only</x:t>
  </x:si>
  <x:si>
    <x:t xml:space="preserve">Add active cervical component</x:t>
  </x:si>
  <x:si>
    <x:t xml:space="preserve">DOS-BP-MOB-001</x:t>
  </x:si>
  <x:si>
    <x:t xml:space="preserve">Use caution post breast/shoulder surgery</x:t>
  </x:si>
  <x:si>
    <x:t xml:space="preserve">Reduce pressure or avoid direct axilla</x:t>
  </x:si>
  <x:si>
    <x:t xml:space="preserve">Add upper limb positional bias if tolerated</x:t>
  </x:si>
  <x:si>
    <x:t xml:space="preserve">DOS-RAD-SLIDER-001</x:t>
  </x:si>
  <x:si>
    <x:t xml:space="preserve">DOS-RAD-TENSION-001</x:t>
  </x:si>
  <x:si>
    <x:t xml:space="preserve">DOS-ULN-SLIDER-001</x:t>
  </x:si>
  <x:si>
    <x:t xml:space="preserve">DOS-ULN-TENSION-001</x:t>
  </x:si>
  <x:si>
    <x:t xml:space="preserve">DOS-FEM-SLIDER-001</x:t>
  </x:si>
  <x:si>
    <x:t xml:space="preserve">DOS-FEM-TENSION-001</x:t>
  </x:si>
  <x:si>
    <x:t xml:space="preserve">NeuroDetailID</x:t>
  </x:si>
  <x:si>
    <x:t xml:space="preserve">NerveBias</x:t>
  </x:si>
  <x:si>
    <x:t xml:space="preserve">ProximalComponent</x:t>
  </x:si>
  <x:si>
    <x:t xml:space="preserve">DistalComponent</x:t>
  </x:si>
  <x:si>
    <x:t xml:space="preserve">Differentiation</x:t>
  </x:si>
  <x:si>
    <x:t xml:space="preserve">SymptomRule</x:t>
  </x:si>
  <x:si>
    <x:t xml:space="preserve">NEURODET-001</x:t>
  </x:si>
  <x:si>
    <x:t xml:space="preserve">Trigeminal</x:t>
  </x:si>
  <x:si>
    <x:t xml:space="preserve">Upper Cx flexion + contralateral LF</x:t>
  </x:si>
  <x:si>
    <x:t xml:space="preserve">Hip flexion + knee extension + ankle DF or long sitting slump</x:t>
  </x:si>
  <x:si>
    <x:t xml:space="preserve">Slider/tensioner response; symptom change with proximal release</x:t>
  </x:si>
  <x:si>
    <x:t xml:space="preserve">Symptoms must settle</x:t>
  </x:si>
  <x:si>
    <x:t xml:space="preserve">NEURODET-002</x:t>
  </x:si>
  <x:si>
    <x:t xml:space="preserve">Greater Occipital</x:t>
  </x:si>
  <x:si>
    <x:t xml:space="preserve">NEURODET-003</x:t>
  </x:si>
  <x:si>
    <x:t xml:space="preserve">Radial</x:t>
  </x:si>
  <x:si>
    <x:t xml:space="preserve">Cx contralateral LF + shoulder depression</x:t>
  </x:si>
  <x:si>
    <x:t xml:space="preserve">Elbow extension + whole limb IR + fist/thumb + wrist flexion</x:t>
  </x:si>
  <x:si>
    <x:t xml:space="preserve">Add/remove shoulder abduction or cervical position</x:t>
  </x:si>
  <x:si>
    <x:t xml:space="preserve">NEURODET-004</x:t>
  </x:si>
  <x:si>
    <x:t xml:space="preserve">Axillary</x:t>
  </x:si>
  <x:si>
    <x:t xml:space="preserve">Cx contralateral LF + ipsilateral shoulder depression</x:t>
  </x:si>
  <x:si>
    <x:t xml:space="preserve">GH internal rotation</x:t>
  </x:si>
  <x:si>
    <x:t xml:space="preserve">Change cervical position or shoulder depression</x:t>
  </x:si>
  <x:si>
    <x:t xml:space="preserve">NEURODET-005</x:t>
  </x:si>
  <x:si>
    <x:t xml:space="preserve">Median</x:t>
  </x:si>
  <x:si>
    <x:t xml:space="preserve">Shoulder abduction + shoulder lateral rotation</x:t>
  </x:si>
  <x:si>
    <x:t xml:space="preserve">Thumb/finger/wrist extension + forearm supination + elbow extension</x:t>
  </x:si>
  <x:si>
    <x:t xml:space="preserve">Cervical side flexion or component release</x:t>
  </x:si>
  <x:si>
    <x:t xml:space="preserve">NEURODET-006</x:t>
  </x:si>
  <x:si>
    <x:t xml:space="preserve">Ulnar</x:t>
  </x:si>
  <x:si>
    <x:t xml:space="preserve">Cx contralateral LF + scapula depression + shoulder abduction</x:t>
  </x:si>
  <x:si>
    <x:t xml:space="preserve">Finger/wrist extension + elbow flexion + shoulder lateral rotation</x:t>
  </x:si>
  <x:si>
    <x:t xml:space="preserve">Ipsilateral Cx side flexion to relieve symptoms</x:t>
  </x:si>
  <x:si>
    <x:t xml:space="preserve">NEURODET-007</x:t>
  </x:si>
  <x:si>
    <x:t xml:space="preserve">Suprascapular</x:t>
  </x:si>
  <x:si>
    <x:t xml:space="preserve">Cx contralateral LF + shoulder girdle depression</x:t>
  </x:si>
  <x:si>
    <x:t xml:space="preserve">Force down humeral shaft + scapular rotation</x:t>
  </x:si>
  <x:si>
    <x:t xml:space="preserve">Change cervical position or scapular component</x:t>
  </x:si>
  <x:si>
    <x:t xml:space="preserve">NEURODET-008</x:t>
  </x:si>
  <x:si>
    <x:t xml:space="preserve">Sciatic/Lumbosacral</x:t>
  </x:si>
  <x:si>
    <x:t xml:space="preserve">Thoracolumbar slump + Cx flexion</x:t>
  </x:si>
  <x:si>
    <x:t xml:space="preserve">Knee extension + ankle DF</x:t>
  </x:si>
  <x:si>
    <x:t xml:space="preserve">Release/extend neck and note symptom/range change</x:t>
  </x:si>
  <x:si>
    <x:t xml:space="preserve">NEURODET-009</x:t>
  </x:si>
  <x:si>
    <x:t xml:space="preserve">Sciatic</x:t>
  </x:si>
  <x:si>
    <x:t xml:space="preserve">Cx flexion optional</x:t>
  </x:si>
  <x:si>
    <x:t xml:space="preserve">SLR + hip add/IR + ankle DF</x:t>
  </x:si>
  <x:si>
    <x:t xml:space="preserve">Remove Cx flexion/extend neck</x:t>
  </x:si>
  <x:si>
    <x:t xml:space="preserve">NEURODET-010</x:t>
  </x:si>
  <x:si>
    <x:t xml:space="preserve">Tibial</x:t>
  </x:si>
  <x:si>
    <x:t xml:space="preserve">As SLR</x:t>
  </x:si>
  <x:si>
    <x:t xml:space="preserve">Ankle DF + eversion</x:t>
  </x:si>
  <x:si>
    <x:t xml:space="preserve">Compare to neutral SLR</x:t>
  </x:si>
  <x:si>
    <x:t xml:space="preserve">NEURODET-011</x:t>
  </x:si>
  <x:si>
    <x:t xml:space="preserve">Peroneal</x:t>
  </x:si>
  <x:si>
    <x:t xml:space="preserve">Ankle PF + inversion</x:t>
  </x:si>
  <x:si>
    <x:t xml:space="preserve">NEURODET-012</x:t>
  </x:si>
  <x:si>
    <x:t xml:space="preserve">Sural</x:t>
  </x:si>
  <x:si>
    <x:t xml:space="preserve">Ankle DF + inversion</x:t>
  </x:si>
  <x:si>
    <x:t xml:space="preserve">NEURODET-013</x:t>
  </x:si>
  <x:si>
    <x:t xml:space="preserve">Femoral</x:t>
  </x:si>
  <x:si>
    <x:t xml:space="preserve">Prone position</x:t>
  </x:si>
  <x:si>
    <x:t xml:space="preserve">Knee flexion</x:t>
  </x:si>
  <x:si>
    <x:t xml:space="preserve">Difficult differentiation from quadriceps in this position</x:t>
  </x:si>
  <x:si>
    <x:t xml:space="preserve">NEURODET-014</x:t>
  </x:si>
  <x:si>
    <x:t xml:space="preserve">Side-lying trunk flexion + hip extension</x:t>
  </x:si>
  <x:si>
    <x:t xml:space="preserve">Knee flexion maintained</x:t>
  </x:si>
  <x:si>
    <x:t xml:space="preserve">Neck flexion differentiation</x:t>
  </x:si>
  <x:si>
    <x:t xml:space="preserve">NEURODET-015</x:t>
  </x:si>
  <x:si>
    <x:t xml:space="preserve">Lateral cutaneous femoral</x:t>
  </x:si>
  <x:si>
    <x:t xml:space="preserve">As femoral nerve</x:t>
  </x:si>
  <x:si>
    <x:t xml:space="preserve">Hip adduction + medial rotation</x:t>
  </x:si>
  <x:si>
    <x:t xml:space="preserve">Compare to femoral nerve position</x:t>
  </x:si>
  <x:si>
    <x:t xml:space="preserve">NEURODET-016</x:t>
  </x:si>
  <x:si>
    <x:t xml:space="preserve">Saphenous</x:t>
  </x:si>
  <x:si>
    <x:t xml:space="preserve">Knee extension + foot eversion</x:t>
  </x:si>
  <x:si>
    <x:t xml:space="preserve">NEURODET-017</x:t>
  </x:si>
  <x:si>
    <x:t xml:space="preserve">Obturator</x:t>
  </x:si>
  <x:si>
    <x:t xml:space="preserve">Hip abduction + knee flexion</x:t>
  </x:si>
  <x:si>
    <x:t xml:space="preserve">NEURODET-018</x:t>
  </x:si>
  <x:si>
    <x:t xml:space="preserve">Offload proximal while loading distal</x:t>
  </x:si>
  <x:si>
    <x:t xml:space="preserve">Wrist/finger extension</x:t>
  </x:si>
  <x:si>
    <x:t xml:space="preserve">Alternate ends to create sliding</x:t>
  </x:si>
  <x:si>
    <x:t xml:space="preserve">No clinical pain during or after</x:t>
  </x:si>
  <x:si>
    <x:t xml:space="preserve">NEURODET-019</x:t>
  </x:si>
  <x:si>
    <x:t xml:space="preserve">Contralateral Cx LF</x:t>
  </x:si>
  <x:si>
    <x:t xml:space="preserve">Elbow + wrist + finger extension</x:t>
  </x:si>
  <x:si>
    <x:t xml:space="preserve">Return to off-load between reps</x:t>
  </x:si>
  <x:si>
    <x:t xml:space="preserve">Symptoms settle completely before next movement</x:t>
  </x:si>
  <x:si>
    <x:t xml:space="preserve">NEURODET-020</x:t>
  </x:si>
  <x:si>
    <x:t xml:space="preserve">Cx extension/release while distal load increases</x:t>
  </x:si>
  <x:si>
    <x:t xml:space="preserve">Knee extension and/or ankle DF</x:t>
  </x:si>
  <x:si>
    <x:t xml:space="preserve">NEURODET-021</x:t>
  </x:si>
  <x:si>
    <x:t xml:space="preserve">Cx flexion</x:t>
  </x:si>
  <x:si>
    <x:t xml:space="preserve">NEURODET-022</x:t>
  </x:si>
  <x:si>
    <x:t xml:space="preserve">Cervical nerve root</x:t>
  </x:si>
  <x:si>
    <x:t xml:space="preserve">Contralateral LF + lateral-to-medial glide</x:t>
  </x:si>
  <x:si>
    <x:t xml:space="preserve">Optional shoulder depression/neurodynamic position</x:t>
  </x:si>
  <x:si>
    <x:t xml:space="preserve">Do not repeat after dramatic improvement until stable</x:t>
  </x:si>
  <x:si>
    <x:t xml:space="preserve">NEURODET-023</x:t>
  </x:si>
  <x:si>
    <x:t xml:space="preserve">Ipsilateral LF + lateral-to-medial glide</x:t>
  </x:si>
  <x:si>
    <x:t xml:space="preserve">Avoid if acute/irritable tension dysfunction</x:t>
  </x:si>
  <x:si>
    <x:t xml:space="preserve">NEURODET-024</x:t>
  </x:si>
  <x:si>
    <x:t xml:space="preserve">Chin tuck + contralateral Cx LF optional</x:t>
  </x:si>
  <x:si>
    <x:t xml:space="preserve">Local rolling/tensioning</x:t>
  </x:si>
  <x:si>
    <x:t xml:space="preserve">Compare bilateral palpation</x:t>
  </x:si>
  <x:si>
    <x:t xml:space="preserve">Gentle; monitor headache response</x:t>
  </x:si>
  <x:si>
    <x:t xml:space="preserve">NEURODET-025</x:t>
  </x:si>
  <x:si>
    <x:t xml:space="preserve">Local cranial/facial branches</x:t>
  </x:si>
  <x:si>
    <x:t xml:space="preserve">Local rolling/manual manipulation</x:t>
  </x:si>
  <x:si>
    <x:t xml:space="preserve">Gentle; monitor facial/headache response</x:t>
  </x:si>
  <x:si>
    <x:t xml:space="preserve">NEURODET-026</x:t>
  </x:si>
  <x:si>
    <x:t xml:space="preserve">Accessory</x:t>
  </x:si>
  <x:si>
    <x:t xml:space="preserve">Shoulder depression + medial rotation</x:t>
  </x:si>
  <x:si>
    <x:t xml:space="preserve">Compare palpation and movement response</x:t>
  </x:si>
  <x:si>
    <x:t xml:space="preserve">Gentle; monitor symptoms</x:t>
  </x:si>
  <x:si>
    <x:t xml:space="preserve">NEURODET-027</x:t>
  </x:si>
  <x:si>
    <x:t xml:space="preserve">Brachial plexus</x:t>
  </x:si>
  <x:si>
    <x:t xml:space="preserve">C5-T1 plexus/roots</x:t>
  </x:si>
  <x:si>
    <x:t xml:space="preserve">Axilla/posterior clavicle trunk palpation</x:t>
  </x:si>
  <x:si>
    <x:t xml:space="preserve">Compare bilateral palpation and symptom response</x:t>
  </x:si>
  <x:si>
    <x:t xml:space="preserve">Use caution post surgery</x:t>
  </x:si>
  <x:si>
    <x:t xml:space="preserve">Cervical Side Flexion</x:t>
  </x:si>
  <x:si>
    <x:t xml:space="preserve">No lingering symptoms</x:t>
  </x:si>
  <x:si>
    <x:t xml:space="preserve">Must fully settle</x:t>
  </x:si>
  <x:si>
    <x:t xml:space="preserve">Cervical Flexion Extension</x:t>
  </x:si>
  <x:si>
    <x:t xml:space="preserve">LinkID</x:t>
  </x:si>
  <x:si>
    <x:t xml:space="preserve">PathwayID</x:t>
  </x:si>
  <x:si>
    <x:t xml:space="preserve">SessionID</x:t>
  </x:si>
  <x:si>
    <x:t xml:space="preserve">ItemType</x:t>
  </x:si>
  <x:si>
    <x:t xml:space="preserve">ItemID</x:t>
  </x:si>
  <x:si>
    <x:t xml:space="preserve">RequiredOrOptional</x:t>
  </x:si>
  <x:si>
    <x:t xml:space="preserve">PlanTemplateID</x:t>
  </x:si>
  <x:si>
    <x:t xml:space="preserve">PlanType</x:t>
  </x:si>
  <x:si>
    <x:t xml:space="preserve">PT-EXERCISE</x:t>
  </x:si>
  <x:si>
    <x:t xml:space="preserve">Exercise Plan Builder</x:t>
  </x:si>
  <x:si>
    <x:t xml:space="preserve">Exercise Plan</x:t>
  </x:si>
  <x:si>
    <x:t xml:space="preserve">Builds structured exercise plans from blueprint slots</x:t>
  </x:si>
  <x:si>
    <x:t xml:space="preserve">VariantID</x:t>
  </x:si>
  <x:si>
    <x:t xml:space="preserve">VariantName</x:t>
  </x:si>
  <x:si>
    <x:t xml:space="preserve">DurationMinutes</x:t>
  </x:si>
  <x:si>
    <x:t xml:space="preserve">SizeLabel</x:t>
  </x:si>
  <x:si>
    <x:t xml:space="preserve">PTV-EX-30</x:t>
  </x:si>
  <x:si>
    <x:t xml:space="preserve">30 min Exercise Plan</x:t>
  </x:si>
  <x:si>
    <x:t xml:space="preserve">Standard</x:t>
  </x:si>
  <x:si>
    <x:t xml:space="preserve">3 warm-up, 6 exercise, 3 cooldown</x:t>
  </x:si>
  <x:si>
    <x:t xml:space="preserve">PTV-EX-60</x:t>
  </x:si>
  <x:si>
    <x:t xml:space="preserve">60 min Exercise</x:t>
  </x:si>
  <x:si>
    <x:t xml:space="preserve">4-5 warm-up, 10-12 exercise, 4-5 cool-down</x:t>
  </x:si>
  <x:si>
    <x:t xml:space="preserve">SlotID</x:t>
  </x:si>
  <x:si>
    <x:t xml:space="preserve">SectionName</x:t>
  </x:si>
  <x:si>
    <x:t xml:space="preserve">SlotName</x:t>
  </x:si>
  <x:si>
    <x:t xml:space="preserve">AllowedBlueprintType</x:t>
  </x:si>
  <x:si>
    <x:t xml:space="preserve">AllowedBlueprintTemplateID</x:t>
  </x:si>
  <x:si>
    <x:t xml:space="preserve">MinBlueprints</x:t>
  </x:si>
  <x:si>
    <x:t xml:space="preserve">MaxBlueprints</x:t>
  </x:si>
  <x:si>
    <x:t xml:space="preserve">PTS-EX30-001</x:t>
  </x:si>
  <x:si>
    <x:t xml:space="preserve">Warm-up</x:t>
  </x:si>
  <x:si>
    <x:t xml:space="preserve">Warm-up Activities</x:t>
  </x:si>
  <x:si>
    <x:t xml:space="preserve">PTS-EX30-002</x:t>
  </x:si>
  <x:si>
    <x:t xml:space="preserve">Main Exercise</x:t>
  </x:si>
  <x:si>
    <x:t xml:space="preserve">Exercise Activities</x:t>
  </x:si>
  <x:si>
    <x:t xml:space="preserve">PTS-EX30-003</x:t>
  </x:si>
  <x:si>
    <x:t xml:space="preserve">Cool-down</x:t>
  </x:si>
  <x:si>
    <x:t xml:space="preserve">Cool-down Activities</x:t>
  </x:si>
  <x:si>
    <x:t xml:space="preserve">PTS-EX60-001</x:t>
  </x:si>
  <x:si>
    <x:t xml:space="preserve">PTS-EX60-002</x:t>
  </x:si>
  <x:si>
    <x:t xml:space="preserve">PTS-EX60-003</x:t>
  </x:si>
  <x:si>
    <x:t xml:space="preserve">PlanCourseDetailID</x:t>
  </x:si>
  <x:si>
    <x:t xml:space="preserve">Course Title</x:t>
  </x:si>
  <x:si>
    <x:t xml:space="preserve">Course Subtitle</x:t>
  </x:si>
  <x:si>
    <x:t xml:space="preserve">Course Level</x:t>
  </x:si>
  <x:si>
    <x:t xml:space="preserve">Estimated Duration</x:t>
  </x:si>
  <x:si>
    <x:t xml:space="preserve">InstructorProfileID</x:t>
  </x:si>
  <x:si>
    <x:t xml:space="preserve">Certificate Available</x:t>
  </x:si>
  <x:si>
    <x:t xml:space="preserve">Certificate Type</x:t>
  </x:si>
  <x:si>
    <x:t xml:space="preserve">CPE Available</x:t>
  </x:si>
  <x:si>
    <x:t xml:space="preserve">CPE Points</x:t>
  </x:si>
  <x:si>
    <x:t xml:space="preserve">CPE Provider</x:t>
  </x:si>
  <x:si>
    <x:t xml:space="preserve">Prerequisites</x:t>
  </x:si>
  <x:si>
    <x:t xml:space="preserve">Completion Requirements</x:t>
  </x:si>
  <x:si>
    <x:t xml:space="preserve">Includes Quiz</x:t>
  </x:si>
  <x:si>
    <x:t xml:space="preserve">Includes Handouts</x:t>
  </x:si>
  <x:si>
    <x:t xml:space="preserve">Access Duration</x:t>
  </x:si>
  <x:si>
    <x:t xml:space="preserve">Course Notes</x:t>
  </x:si>
  <x:si>
    <x:t xml:space="preserve">COURSE-TRIGGER-BALL-BASICS</x:t>
  </x:si>
  <x:si>
    <x:t xml:space="preserve">PLAN-TRIGGER-BALL-BASICS</x:t>
  </x:si>
  <x:si>
    <x:t xml:space="preserve">Trigger Ball Basics</x:t>
  </x:si>
  <x:si>
    <x:t xml:space="preserve">Learn safe self-release at home</x:t>
  </x:si>
  <x:si>
    <x:t xml:space="preserve">Beginner</x:t>
  </x:si>
  <x:si>
    <x:t xml:space="preserve">45 minutes</x:t>
  </x:si>
  <x:si>
    <x:t xml:space="preserve">INST-PROF-001</x:t>
  </x:si>
  <x:si>
    <x:t xml:space="preserve">No</x:t>
  </x:si>
  <x:si>
    <x:t xml:space="preserve">Completion</x:t>
  </x:si>
  <x:si>
    <x:t xml:space="preserve">None</x:t>
  </x:si>
  <x:si>
    <x:t xml:space="preserve">Watch all modules</x:t>
  </x:si>
  <x:si>
    <x:t xml:space="preserve">Lifetime</x:t>
  </x:si>
  <x:si>
    <x:t xml:space="preserve">PlanDosageID</x:t>
  </x:si>
  <x:si>
    <x:t xml:space="preserve">PlanID</x:t>
  </x:si>
  <x:si>
    <x:t xml:space="preserve">PlanItemID</x:t>
  </x:si>
  <x:si>
    <x:t xml:space="preserve">PlanWorkshopDetailID</x:t>
  </x:si>
  <x:si>
    <x:t xml:space="preserve">Workshop Title</x:t>
  </x:si>
  <x:si>
    <x:t xml:space="preserve">Workshop Subtitle</x:t>
  </x:si>
  <x:si>
    <x:t xml:space="preserve">Workshop Format</x:t>
  </x:si>
  <x:si>
    <x:t xml:space="preserve">Workshop Type</x:t>
  </x:si>
  <x:si>
    <x:t xml:space="preserve">Workshop Duration</x:t>
  </x:si>
  <x:si>
    <x:t xml:space="preserve">Location</x:t>
  </x:si>
  <x:si>
    <x:t xml:space="preserve">Max Attendees</x:t>
  </x:si>
  <x:si>
    <x:t xml:space="preserve">What To Bring</x:t>
  </x:si>
  <x:si>
    <x:t xml:space="preserve">Equipment Provided</x:t>
  </x:si>
  <x:si>
    <x:t xml:space="preserve">Includes Replay</x:t>
  </x:si>
  <x:si>
    <x:t xml:space="preserve">Replay Access Duration</x:t>
  </x:si>
  <x:si>
    <x:t xml:space="preserve">Booking Required</x:t>
  </x:si>
  <x:si>
    <x:t xml:space="preserve">Cancellation Policy</x:t>
  </x:si>
  <x:si>
    <x:t xml:space="preserve">Workshop Notes</x:t>
  </x:si>
  <x:si>
    <x:t xml:space="preserve">Key</x:t>
  </x:si>
  <x:si>
    <x:t xml:space="preserve">Ref → Plan Templates</x:t>
  </x:si>
  <x:si>
    <x:t xml:space="preserve">Text</x:t>
  </x:si>
  <x:si>
    <x:t xml:space="preserve">Enum</x:t>
  </x:si>
  <x:si>
    <x:t xml:space="preserve">Number</x:t>
  </x:si>
  <x:si>
    <x:t xml:space="preserve">Yes/No</x:t>
  </x:si>
  <x:si>
    <x:t xml:space="preserve">LongText</x:t>
  </x:si>
  <x:si>
    <x:t xml:space="preserve">PWD-001</x:t>
  </x:si>
  <x:si>
    <x:t xml:space="preserve">PLAN-001</x:t>
  </x:si>
  <x:si>
    <x:t xml:space="preserve">Trigger Ball Workshop</x:t>
  </x:si>
  <x:si>
    <x:t xml:space="preserve">Learn safe self-release techniques</x:t>
  </x:si>
  <x:si>
    <x:t xml:space="preserve">In Person / Online Live / Hybrid / Replay</x:t>
  </x:si>
  <x:si>
    <x:t xml:space="preserve">Client / Therapist / Both</x:t>
  </x:si>
  <x:si>
    <x:t xml:space="preserve">2 hours</x:t>
  </x:si>
  <x:si>
    <x:t xml:space="preserve">Clinic / Gym / Online</x:t>
  </x:si>
  <x:si>
    <x:t xml:space="preserve">Attendance / Completion / CPD</x:t>
  </x:si>
  <x:si>
    <x:t xml:space="preserve">Provider name</x:t>
  </x:si>
  <x:si>
    <x:t xml:space="preserve">None / therapist qualification required</x:t>
  </x:si>
  <x:si>
    <x:t xml:space="preserve">Towel, water bottle, trigger ball</x:t>
  </x:si>
  <x:si>
    <x:t xml:space="preserve">Trigger balls, mats, handouts</x:t>
  </x:si>
  <x:si>
    <x:t xml:space="preserve">30 days</x:t>
  </x:si>
  <x:si>
    <x:t xml:space="preserve">24 hours notice required</x:t>
  </x:si>
  <x:si>
    <x:t xml:space="preserve">Attend full workshop</x:t>
  </x:si>
  <x:si>
    <x:t xml:space="preserve">Lifetime / 12 months / 30 days</x:t>
  </x:si>
  <x:si>
    <x:t xml:space="preserve">Internal notes</x:t>
  </x:si>
  <x:si>
    <x:t xml:space="preserve">WorkshopEventID</x:t>
  </x:si>
  <x:si>
    <x:t xml:space="preserve">Event Name</x:t>
  </x:si>
  <x:si>
    <x:t xml:space="preserve">Event Type</x:t>
  </x:si>
  <x:si>
    <x:t xml:space="preserve">Start DateTime</x:t>
  </x:si>
  <x:si>
    <x:t xml:space="preserve">End DateTime</x:t>
  </x:si>
  <x:si>
    <x:t xml:space="preserve">Time Zone</x:t>
  </x:si>
  <x:si>
    <x:t xml:space="preserve">LocationType</x:t>
  </x:si>
  <x:si>
    <x:t xml:space="preserve">Venue Name</x:t>
  </x:si>
  <x:si>
    <x:t xml:space="preserve">Venue Address</x:t>
  </x:si>
  <x:si>
    <x:t xml:space="preserve">Online Meeting Link</x:t>
  </x:si>
  <x:si>
    <x:t xml:space="preserve">TicketPrice</x:t>
  </x:si>
  <x:si>
    <x:t xml:space="preserve">Min Attendees</x:t>
  </x:si>
  <x:si>
    <x:t xml:space="preserve">Seats Booked</x:t>
  </x:si>
  <x:si>
    <x:t xml:space="preserve">Waitlist Enabled</x:t>
  </x:si>
  <x:si>
    <x:t xml:space="preserve">Registration Opens</x:t>
  </x:si>
  <x:si>
    <x:t xml:space="preserve">Registration Closes</x:t>
  </x:si>
  <x:si>
    <x:t xml:space="preserve">Attendance Recorded</x:t>
  </x:si>
  <x:si>
    <x:t xml:space="preserve">Certificate Generated</x:t>
  </x:si>
  <x:si>
    <x:t xml:space="preserve">PayoutStatus</x:t>
  </x:si>
  <x:si>
    <x:t xml:space="preserve">RevenueSharePercent</x:t>
  </x:si>
  <x:si>
    <x:t xml:space="preserve">PublishedBy</x:t>
  </x:si>
  <x:si>
    <x:t xml:space="preserve">WE-001</x:t>
  </x:si>
  <x:si>
    <x:t xml:space="preserve">PLAN-TRIGGER-BALL-WORKSHOP</x:t>
  </x:si>
  <x:si>
    <x:t xml:space="preserve">PROD-TRIGGER-BALL-WORKSHOP</x:t>
  </x:si>
  <x:si>
    <x:t xml:space="preserve">Trigger Ball Workshop Brisbane</x:t>
  </x:si>
  <x:si>
    <x:t xml:space="preserve">In Person</x:t>
  </x:si>
  <x:si>
    <x:t xml:space="preserve">Australia/Brisbane</x:t>
  </x:si>
  <x:si>
    <x:t xml:space="preserve">Recovery Tools HQ</x:t>
  </x:si>
  <x:si>
    <x:t xml:space="preserve">123 Main Street</x:t>
  </x:si>
  <x:si>
    <x:t xml:space="preserve">CertificateID</x:t>
  </x:si>
  <x:si>
    <x:t xml:space="preserve">CertificateName</x:t>
  </x:si>
  <x:si>
    <x:t xml:space="preserve">CPDProvider</x:t>
  </x:si>
  <x:si>
    <x:t xml:space="preserve">CPDPoints</x:t>
  </x:si>
  <x:si>
    <x:t xml:space="preserve">CertificateTemplate</x:t>
  </x:si>
  <x:si>
    <x:t xml:space="preserve">IsActive</x:t>
  </x:si>
  <x:si>
    <x:t xml:space="preserve">Pathway</x:t>
  </x:si>
  <x:si>
    <x:t xml:space="preserve">PhaseOrder</x:t>
  </x:si>
  <x:si>
    <x:t xml:space="preserve">MainGoal</x:t>
  </x:si>
  <x:si>
    <x:t xml:space="preserve">ExpectedStatus</x:t>
  </x:si>
  <x:si>
    <x:t xml:space="preserve">CautionNotes</x:t>
  </x:si>
  <x:si>
    <x:t xml:space="preserve">ProgressionCriteriaIDs</x:t>
  </x:si>
  <x:si>
    <x:t xml:space="preserve">FlagIDs</x:t>
  </x:si>
  <x:si>
    <x:t xml:space="preserve">NextPathwayID</x:t>
  </x:si>
  <x:si>
    <x:t xml:space="preserve">Hamstring Tear 1</x:t>
  </x:si>
  <x:si>
    <x:t xml:space="preserve">0-1</x:t>
  </x:si>
  <x:si>
    <x:t xml:space="preserve">PATH-HST-02</x:t>
  </x:si>
  <x:si>
    <x:t xml:space="preserve">Hamstring Tear 2</x:t>
  </x:si>
  <x:si>
    <x:t xml:space="preserve">PATH-HST-03</x:t>
  </x:si>
  <x:si>
    <x:t xml:space="preserve">Hamstring Tear 3</x:t>
  </x:si>
  <x:si>
    <x:t xml:space="preserve">PATH-HST-04</x:t>
  </x:si>
  <x:si>
    <x:t xml:space="preserve">Hamstring Tear 4</x:t>
  </x:si>
  <x:si>
    <x:t xml:space="preserve">CriteriaID</x:t>
  </x:si>
  <x:si>
    <x:t xml:space="preserve">CriteriaName</x:t>
  </x:si>
  <x:si>
    <x:t xml:space="preserve">Phase</x:t>
  </x:si>
  <x:si>
    <x:t xml:space="preserve">CriteriaType</x:t>
  </x:si>
  <x:si>
    <x:t xml:space="preserve">Measurement</x:t>
  </x:si>
  <x:si>
    <x:t xml:space="preserve">PassValue</x:t>
  </x:si>
  <x:si>
    <x:t xml:space="preserve">MustPass</x:t>
  </x:si>
  <x:si>
    <x:t xml:space="preserve">WhatItMeans</x:t>
  </x:si>
  <x:si>
    <x:t xml:space="preserve">IfPassedAction</x:t>
  </x:si>
  <x:si>
    <x:t xml:space="preserve">IfFailedAction</x:t>
  </x:si>
  <x:si>
    <x:t xml:space="preserve">RelatedTestID</x:t>
  </x:si>
  <x:si>
    <x:t xml:space="preserve">Pain &lt;3/10</x:t>
  </x:si>
  <x:si>
    <x:t xml:space="preserve">progress load</x:t>
  </x:si>
  <x:si>
    <x:t xml:space="preserve">remain in current phase / reduce intensity.</x:t>
  </x:si>
  <x:si>
    <x:t xml:space="preserve">Swelling improved</x:t>
  </x:si>
  <x:si>
    <x:t xml:space="preserve">Full WB tolerated</x:t>
  </x:si>
  <x:si>
    <x:t xml:space="preserve">full knee extension</x:t>
  </x:si>
  <x:si>
    <x:t xml:space="preserve">no night pain</x:t>
  </x:si>
  <x:si>
    <x:t xml:space="preserve">improved gait</x:t>
  </x:si>
  <x:si>
    <x:t xml:space="preserve">TeachingLicenceID</x:t>
  </x:si>
  <x:si>
    <x:t xml:space="preserve">CanTeach</x:t>
  </x:si>
  <x:si>
    <x:t xml:space="preserve">CanModify</x:t>
  </x:si>
  <x:si>
    <x:t xml:space="preserve">CanSell</x:t>
  </x:si>
  <x:si>
    <x:t xml:space="preserve">CanUseRecoveryToolsBranding</x:t>
  </x:si>
  <x:si>
    <x:t xml:space="preserve">LicenceStatus</x:t>
  </x:si>
  <x:si>
    <x:t xml:space="preserve">LicenceStartDate</x:t>
  </x:si>
  <x:si>
    <x:t xml:space="preserve">LicenceEndDate</x:t>
  </x:si>
  <x:si>
    <x:t xml:space="preserve">TEACH-LICENCE-001</x:t>
  </x:si>
  <x:si>
    <x:t xml:space="preserve">ProductTitle</x:t>
  </x:si>
  <x:si>
    <x:t xml:space="preserve">Shop Status</x:t>
  </x:si>
  <x:si>
    <x:t xml:space="preserve">Featured</x:t>
  </x:si>
  <x:si>
    <x:t xml:space="preserve">Requires Shipping</x:t>
  </x:si>
  <x:si>
    <x:t xml:space="preserve">SKU</x:t>
  </x:si>
  <x:si>
    <x:t xml:space="preserve">ProductShortDescription</x:t>
  </x:si>
  <x:si>
    <x:t xml:space="preserve">ProductLongDescription</x:t>
  </x:si>
  <x:si>
    <x:t xml:space="preserve">Supplier Type</x:t>
  </x:si>
  <x:si>
    <x:t xml:space="preserve">Unlocks access</x:t>
  </x:si>
  <x:si>
    <x:t xml:space="preserve">Access Type</x:t>
  </x:si>
  <x:si>
    <x:t xml:space="preserve">Related PlanID</x:t>
  </x:si>
  <x:si>
    <x:t xml:space="preserve">Related PlanCourseDetailID</x:t>
  </x:si>
  <x:si>
    <x:t xml:space="preserve">Related WorkshopID</x:t>
  </x:si>
  <x:si>
    <x:t xml:space="preserve">Access Code Eligible</x:t>
  </x:si>
  <x:si>
    <x:t xml:space="preserve">slug</x:t>
  </x:si>
  <x:si>
    <x:t xml:space="preserve">createdAt</x:t>
  </x:si>
  <x:si>
    <x:t xml:space="preserve">updatedAt</x:t>
  </x:si>
  <x:si>
    <x:t xml:space="preserve">PROD-EPSOM-SALT</x:t>
  </x:si>
  <x:si>
    <x:t xml:space="preserve">ITEM-EPSOM-SALT</x:t>
  </x:si>
  <x:si>
    <x:t xml:space="preserve">Epsom Salts</x:t>
  </x:si>
  <x:si>
    <x:t xml:space="preserve">ACTIVE</x:t>
  </x:si>
  <x:si>
    <x:t xml:space="preserve">EPSOM-SALT</x:t>
  </x:si>
  <x:si>
    <x:t xml:space="preserve">Pure magnesium sulfate recovery salts for muscle relaxation and recovery.</x:t>
  </x:si>
  <x:si>
    <x:t xml:space="preserve">Recovery Tools</x:t>
  </x:si>
  <x:si>
    <x:t xml:space="preserve">Course</x:t>
  </x:si>
  <x:si>
    <x:t xml:space="preserve">PLAN-EPSOM-SOAKS</x:t>
  </x:si>
  <x:si>
    <x:t xml:space="preserve">COURSE-EPSOM-SOAKS</x:t>
  </x:si>
  <x:si>
    <x:t xml:space="preserve">epsom-salt</x:t>
  </x:si>
  <x:si>
    <x:t xml:space="preserve">Physical product unlocks related recovery course.</x:t>
  </x:si>
  <x:si>
    <x:t xml:space="preserve">PROD-MCT-BALM-01</x:t>
  </x:si>
  <x:si>
    <x:t xml:space="preserve">ITEM-MCT-BALM-01</x:t>
  </x:si>
  <x:si>
    <x:t xml:space="preserve">MCT Recovery Balm 50g</x:t>
  </x:si>
  <x:si>
    <x:t xml:space="preserve">MCT-BALM-50G</x:t>
  </x:si>
  <x:si>
    <x:t xml:space="preserve">Warming recovery balm with coconut oil, camphor, magnesium, wintergreen, and eucalyptus.</x:t>
  </x:si>
  <x:si>
    <x:t xml:space="preserve">Our 50g MCT Recovery Balm combines coconut-oil with camphor, magnesium, wintergreen, and eucalyptus to deliver soothing heat, ease inflammation, and support deep muscle recovery.</x:t>
  </x:si>
  <x:si>
    <x:t xml:space="preserve">PLAN-MCT-BALM-USE</x:t>
  </x:si>
  <x:si>
    <x:t xml:space="preserve">COURSE-MCT-BALM-USE</x:t>
  </x:si>
  <x:si>
    <x:t xml:space="preserve">mct-balm</x:t>
  </x:si>
  <x:si>
    <x:t xml:space="preserve">May also pair with trigger ball/cupping recovery routines.</x:t>
  </x:si>
  <x:si>
    <x:t xml:space="preserve">PROD-CUPPING-SET</x:t>
  </x:si>
  <x:si>
    <x:t xml:space="preserve">ITEM-CUPPING-SET</x:t>
  </x:si>
  <x:si>
    <x:t xml:space="preserve">Silicone Cupping Set</x:t>
  </x:si>
  <x:si>
    <x:t xml:space="preserve">CUPPING-SET</x:t>
  </x:si>
  <x:si>
    <x:t xml:space="preserve">Silicone cupping set with 2 large cups, 2 small cups, hard case, and MCT balm sample.</x:t>
  </x:si>
  <x:si>
    <x:t xml:space="preserve">Experience professional-level recovery in your hands with our silicone cupping set — featuring 2 large and 2 small cups, a sturdy hard-case, and a soothing MCT balm sample for effective myofascial release wherever you are.</x:t>
  </x:si>
  <x:si>
    <x:t xml:space="preserve">PLAN-CUPPING-BASICS</x:t>
  </x:si>
  <x:si>
    <x:t xml:space="preserve">COURSE-CUPPING-BASICS</x:t>
  </x:si>
  <x:si>
    <x:t xml:space="preserve">cupping-set</x:t>
  </x:si>
  <x:si>
    <x:t xml:space="preserve">Include safety/contraindication education in unlocked content.</x:t>
  </x:si>
  <x:si>
    <x:t xml:space="preserve">PROD-TRIGGER-BALL-6CM</x:t>
  </x:si>
  <x:si>
    <x:t xml:space="preserve">Trigger Ball 6cm</x:t>
  </x:si>
  <x:si>
    <x:t xml:space="preserve">TRIGGER-BALL-6CM</x:t>
  </x:si>
  <x:si>
    <x:t xml:space="preserve">Hard silicone trigger ball for targeted muscle release and deep tissue recovery.</x:t>
  </x:si>
  <x:si>
    <x:t xml:space="preserve">Our 6cm hard silicone trigger balls — available in black, grey, blue, purple, or green — are designed to target tight spots, release muscle tension, and support deep tissue recovery anytime, anywhere.</x:t>
  </x:si>
  <x:si>
    <x:t xml:space="preserve">trigger-ball</x:t>
  </x:si>
  <x:si>
    <x:t xml:space="preserve">Needs colour variants.</x:t>
  </x:si>
  <x:si>
    <x:t xml:space="preserve">PROD-HEAT-PATCHES-6PK</x:t>
  </x:si>
  <x:si>
    <x:t xml:space="preserve">ITEM-HEAT-PATCHES-6PK</x:t>
  </x:si>
  <x:si>
    <x:t xml:space="preserve">Heat Patches 6 Pack</x:t>
  </x:si>
  <x:si>
    <x:t xml:space="preserve">HEAT-PATCHES-6PK</x:t>
  </x:si>
  <x:si>
    <x:t xml:space="preserve">Six air-activated heat patches providing up to 12 hours of soothing warmth.</x:t>
  </x:si>
  <x:si>
    <x:t xml:space="preserve">Six heat patches, air-activated and powered by natural iron powder. Providing up to 12 hours of soothing warmth to support muscle recovery, ease tension, and promote self-managed pain relief.</x:t>
  </x:si>
  <x:si>
    <x:t xml:space="preserve">PLAN-HEAT-PATCHES</x:t>
  </x:si>
  <x:si>
    <x:t xml:space="preserve">COURSE-HEAT-PATCHES</x:t>
  </x:si>
  <x:si>
    <x:t xml:space="preserve">heat-patches</x:t>
  </x:si>
  <x:si>
    <x:t xml:space="preserve">Include safe use, timing, and contraindications in course.</x:t>
  </x:si>
  <x:si>
    <x:t xml:space="preserve">PROD-COURSE-001</x:t>
  </x:si>
  <x:si>
    <x:t xml:space="preserve">ITEM-COURSE-001</x:t>
  </x:si>
  <x:si>
    <x:t xml:space="preserve">TRIGGER-BALL-COURSE</x:t>
  </x:si>
  <x:si>
    <x:t xml:space="preserve">Guide to trigger ball recovery tool</x:t>
  </x:si>
  <x:si>
    <x:t xml:space="preserve">A comprehensive guide to using the trigger ball for muscular release. </x:t>
  </x:si>
  <x:si>
    <x:t xml:space="preserve">trigger-ball-course</x:t>
  </x:si>
  <x:si>
    <x:t xml:space="preserve">EffectiveShopPrice</x:t>
  </x:si>
  <x:si>
    <x:t xml:space="preserve">stripeProductId</x:t>
  </x:si>
  <x:si>
    <x:t xml:space="preserve">stripePriceId</x:t>
  </x:si>
  <x:si>
    <x:t xml:space="preserve">PRICE-EPSOM-500G</x:t>
  </x:si>
  <x:si>
    <x:t xml:space="preserve">VAR-EPSOM-SALT-500G</x:t>
  </x:si>
  <x:si>
    <x:t xml:space="preserve">AUD</x:t>
  </x:si>
  <x:si>
    <x:t xml:space="preserve">PRICE-MCT-BALM-01</x:t>
  </x:si>
  <x:si>
    <x:t xml:space="preserve">PRICE-CUPPING-SET</x:t>
  </x:si>
  <x:si>
    <x:t xml:space="preserve">PRICE-TRIGGER-BALL-6CM</x:t>
  </x:si>
  <x:si>
    <x:t xml:space="preserve">PRICE-HEAT-PATCHES-6PK</x:t>
  </x:si>
  <x:si>
    <x:t xml:space="preserve">PRICE-COURSE-001</x:t>
  </x:si>
  <x:si>
    <x:t xml:space="preserve">Variant Name</x:t>
  </x:si>
  <x:si>
    <x:t xml:space="preserve">Size</x:t>
  </x:si>
  <x:si>
    <x:t xml:space="preserve">Price Override</x:t>
  </x:si>
  <x:si>
    <x:t xml:space="preserve">ItemAssetID</x:t>
  </x:si>
  <x:si>
    <x:t xml:space="preserve">VAR-TBALL-BLACK</x:t>
  </x:si>
  <x:si>
    <x:t xml:space="preserve">Black</x:t>
  </x:si>
  <x:si>
    <x:t xml:space="preserve">6cm</x:t>
  </x:si>
  <x:si>
    <x:t xml:space="preserve">TRIGGER-BALL-BLACK</x:t>
  </x:si>
  <x:si>
    <x:t xml:space="preserve">VAR-TBALL-GREY</x:t>
  </x:si>
  <x:si>
    <x:t xml:space="preserve">Grey</x:t>
  </x:si>
  <x:si>
    <x:t xml:space="preserve">TRIGGER-BALL-GREY</x:t>
  </x:si>
  <x:si>
    <x:t xml:space="preserve">VAR-TBALL-BLUE</x:t>
  </x:si>
  <x:si>
    <x:t xml:space="preserve">Blue</x:t>
  </x:si>
  <x:si>
    <x:t xml:space="preserve">TRIGGER-BALL-BLUE</x:t>
  </x:si>
  <x:si>
    <x:t xml:space="preserve">VAR-TBALL-PURPLE</x:t>
  </x:si>
  <x:si>
    <x:t xml:space="preserve">Purple</x:t>
  </x:si>
  <x:si>
    <x:t xml:space="preserve">TRIGGER-BALL-PURPLE</x:t>
  </x:si>
  <x:si>
    <x:t xml:space="preserve">VAR-TBALL-GREEN</x:t>
  </x:si>
  <x:si>
    <x:t xml:space="preserve">Green</x:t>
  </x:si>
  <x:si>
    <x:t xml:space="preserve">TRIGGER-BALL-GREEN</x:t>
  </x:si>
  <x:si>
    <x:t xml:space="preserve">VAR-SILICONE CUP-01</x:t>
  </x:si>
  <x:si>
    <x:t xml:space="preserve">ITEM-SILICONE CUP-01</x:t>
  </x:si>
  <x:si>
    <x:t xml:space="preserve">Small</x:t>
  </x:si>
  <x:si>
    <x:t xml:space="preserve">SILICONE-CUP-SMALL</x:t>
  </x:si>
  <x:si>
    <x:t xml:space="preserve">Part Only</x:t>
  </x:si>
  <x:si>
    <x:t xml:space="preserve">VAR-SILICONE CUP-02</x:t>
  </x:si>
  <x:si>
    <x:t xml:space="preserve">Large</x:t>
  </x:si>
  <x:si>
    <x:t xml:space="preserve">SILICONE-CUP-LARGE</x:t>
  </x:si>
  <x:si>
    <x:t xml:space="preserve">VAR-MCTBLAM-01</x:t>
  </x:si>
  <x:si>
    <x:t xml:space="preserve">Sample</x:t>
  </x:si>
  <x:si>
    <x:t xml:space="preserve">20g</x:t>
  </x:si>
  <x:si>
    <x:t xml:space="preserve">MCT-BALM-SAMPLE</x:t>
  </x:si>
  <x:si>
    <x:t xml:space="preserve">VAR-MCTBLAM-02</x:t>
  </x:si>
  <x:si>
    <x:t xml:space="preserve">50g</x:t>
  </x:si>
  <x:si>
    <x:t xml:space="preserve">VAR-PACK-BOX-01</x:t>
  </x:si>
  <x:si>
    <x:t xml:space="preserve">ITEM-PACK-BAG-01</x:t>
  </x:si>
  <x:si>
    <x:t xml:space="preserve">Tall Box</x:t>
  </x:si>
  <x:si>
    <x:t xml:space="preserve">18x8x8cm</x:t>
  </x:si>
  <x:si>
    <x:t xml:space="preserve">PACK-BOX-TALL</x:t>
  </x:si>
  <x:si>
    <x:t xml:space="preserve">VAR-PACK-BOX-02</x:t>
  </x:si>
  <x:si>
    <x:t xml:space="preserve">Square Box</x:t>
  </x:si>
  <x:si>
    <x:t xml:space="preserve">7x7x7cm</x:t>
  </x:si>
  <x:si>
    <x:t xml:space="preserve">PACK-BOX-SQUARE</x:t>
  </x:si>
  <x:si>
    <x:t xml:space="preserve">VAR-EPSOM-SALT-STICKER-01</x:t>
  </x:si>
  <x:si>
    <x:t xml:space="preserve">ITEM-EPSOM-SALT-STICKER</x:t>
  </x:si>
  <x:si>
    <x:t xml:space="preserve">Epsom Salt Sticker Back</x:t>
  </x:si>
  <x:si>
    <x:t xml:space="preserve">VAR-EPSOM-SALT-STICKER-02</x:t>
  </x:si>
  <x:si>
    <x:t xml:space="preserve">Epsom Salt Sticker Front</x:t>
  </x:si>
  <x:si>
    <x:t xml:space="preserve">VAR-STICKER-01</x:t>
  </x:si>
  <x:si>
    <x:t xml:space="preserve">ITEM-STICKER-01</x:t>
  </x:si>
  <x:si>
    <x:t xml:space="preserve">Blue Circle</x:t>
  </x:si>
  <x:si>
    <x:t xml:space="preserve">VAR-STICKER-02</x:t>
  </x:si>
  <x:si>
    <x:t xml:space="preserve">Purple Circle</x:t>
  </x:si>
  <x:si>
    <x:t xml:space="preserve">VAR-STICKER-03</x:t>
  </x:si>
  <x:si>
    <x:t xml:space="preserve">Green Circle</x:t>
  </x:si>
  <x:si>
    <x:t xml:space="preserve">VAR-TBALL-BLACK-01</x:t>
  </x:si>
  <x:si>
    <x:t xml:space="preserve">ITEM-TRIGGER-BALL-01</x:t>
  </x:si>
  <x:si>
    <x:t xml:space="preserve">Trigger Ball Black</x:t>
  </x:si>
  <x:si>
    <x:t xml:space="preserve">VAR-TBALL-BLUE-01</x:t>
  </x:si>
  <x:si>
    <x:t xml:space="preserve">Trigger Ball Blue</x:t>
  </x:si>
  <x:si>
    <x:t xml:space="preserve">VAR-TBALL-PURPLE-01</x:t>
  </x:si>
  <x:si>
    <x:t xml:space="preserve">Trigger Ball Purple</x:t>
  </x:si>
  <x:si>
    <x:t xml:space="preserve">VAR-TBALL-GREEN-01</x:t>
  </x:si>
  <x:si>
    <x:t xml:space="preserve">Trigger Ball Green</x:t>
  </x:si>
  <x:si>
    <x:t xml:space="preserve">VAR-TBALL-GREY-01</x:t>
  </x:si>
  <x:si>
    <x:t xml:space="preserve">Trigger Ball Grey</x:t>
  </x:si>
  <x:si>
    <x:t xml:space="preserve">500g</x:t>
  </x:si>
  <x:si>
    <x:t xml:space="preserve">EPSOM-SALT-500G</x:t>
  </x:si>
  <x:si>
    <x:t xml:space="preserve">AssetID</x:t>
  </x:si>
  <x:si>
    <x:t xml:space="preserve">AssetName</x:t>
  </x:si>
  <x:si>
    <x:t xml:space="preserve">AssetType</x:t>
  </x:si>
  <x:si>
    <x:t xml:space="preserve">Title</x:t>
  </x:si>
  <x:si>
    <x:t xml:space="preserve">AltText</x:t>
  </x:si>
  <x:si>
    <x:t xml:space="preserve">FileURL</x:t>
  </x:si>
  <x:si>
    <x:t xml:space="preserve">ThumbnailURL</x:t>
  </x:si>
  <x:si>
    <x:t xml:space="preserve">OwnerUserID</x:t>
  </x:si>
  <x:si>
    <x:t xml:space="preserve">CreatedDate</x:t>
  </x:si>
  <x:si>
    <x:t xml:space="preserve">ASSET-GLOSSARY-001</x:t>
  </x:si>
  <x:si>
    <x:t xml:space="preserve">Glossary</x:t>
  </x:si>
  <x:si>
    <x:t xml:space="preserve">PDF</x:t>
  </x:si>
  <x:si>
    <x:t xml:space="preserve">https://firebasestorage.googleapis.com/v0/b/recovery-tools.firebasestorage.app/o/assets%2FASSET-GLOSSARY-001%2FGlossary.pdf?alt=media&amp;token=d65ddaa7-0bc0-48f8-bd55-53f9a09adb06</x:t>
  </x:si>
  <x:si>
    <x:t xml:space="preserve">Nancy</x:t>
  </x:si>
  <x:si>
    <x:t xml:space="preserve">ASSET-COMMERCE-POLICY</x:t>
  </x:si>
  <x:si>
    <x:t xml:space="preserve">Commerce Policy</x:t>
  </x:si>
  <x:si>
    <x:t xml:space="preserve">https://firebasestorage.googleapis.com/v0/b/recovery-tools.firebasestorage.app/o/assets%2FASSET-COMMERCE-POLICY%2FRecovery%20Tools%20Commerce%20Policy.pdf.pdf?alt=media&amp;token=82e39d4e-2aa5-4dba-98cc-18b423deaa0e</x:t>
  </x:si>
  <x:si>
    <x:t xml:space="preserve">ASSET-PARTNER-AGREEMENT</x:t>
  </x:si>
  <x:si>
    <x:t xml:space="preserve">Partner Agreement</x:t>
  </x:si>
  <x:si>
    <x:t xml:space="preserve">https://firebasestorage.googleapis.com/v0/b/recovery-tools.firebasestorage.app/o/assets%2FASSET-PARTNER-AGREEMENT%2FRecovery%20Tools%20Partner%20Agreement.pdf.pdf?alt=media&amp;token=f490f5b9-a5ee-4e07-9379-9cd72385efa2</x:t>
  </x:si>
  <x:si>
    <x:t xml:space="preserve">ASSET-PRIVACY-POLICY</x:t>
  </x:si>
  <x:si>
    <x:t xml:space="preserve">Privacy Policy</x:t>
  </x:si>
  <x:si>
    <x:t xml:space="preserve">https://firebasestorage.googleapis.com/v0/b/recovery-tools.firebasestorage.app/o/assets%2FASSET-PRIVACY-POLICY%2FRecovery%20Tools%20Privacy%20Policy.pdf.pdf?alt=media&amp;token=8046ad67-f085-4250-838e-5a61830c186e</x:t>
  </x:si>
  <x:si>
    <x:t xml:space="preserve">ASSET-TERMS-CONDITIONS</x:t>
  </x:si>
  <x:si>
    <x:t xml:space="preserve">Terms and Conditions</x:t>
  </x:si>
  <x:si>
    <x:t xml:space="preserve">https://firebasestorage.googleapis.com/v0/b/recovery-tools.firebasestorage.app/o/assets%2FASSET-TERMS-CONDITIONS%2FRecovery%20Tools%20Terms%20and%20Conditions.pdf.pdf?alt=media&amp;token=c1cbe867-f412-4812-9d32-cdb3987d5d30</x:t>
  </x:si>
  <x:si>
    <x:t xml:space="preserve">ASSET-EPSOM-SALT-001</x:t>
  </x:si>
  <x:si>
    <x:t xml:space="preserve">Epsom Salt Product</x:t>
  </x:si>
  <x:si>
    <x:t xml:space="preserve">Epsom Salts Product Image</x:t>
  </x:si>
  <x:si>
    <x:t xml:space="preserve">https://firebasestorage.googleapis.com/v0/b/recovery-tools.firebasestorage.app/o/assets%2FASSET-EPSOM-SALT-001%2FEpsom%20Salts.jpg?alt=media&amp;token=a66caf54-f5a1-4348-b561-088efffd3f4f</x:t>
  </x:si>
  <x:si>
    <x:t xml:space="preserve">https://firebasestorage.googleapis.com/v0/b/recovery-tools.firebasestorage.app/o/assets%2FASSET-EPSOM-SALT-001%2FEpsom%20Salts%20thumbnail.jpg?alt=media&amp;token=b167e818-ab94-436a-9357-c443ac3e73b5</x:t>
  </x:si>
  <x:si>
    <x:t xml:space="preserve">ASSET-MCT-BALM-01-001</x:t>
  </x:si>
  <x:si>
    <x:t xml:space="preserve">MCT Balm Product</x:t>
  </x:si>
  <x:si>
    <x:t xml:space="preserve">MCT Balm Product Image</x:t>
  </x:si>
  <x:si>
    <x:t xml:space="preserve">https://firebasestorage.googleapis.com/v0/b/recovery-tools.firebasestorage.app/o/assets%2FASSET-MCT-BALM-01-001%2FMCT%20Balm.jpg?alt=media&amp;token=73b9b541-7ead-4ccd-ad0f-d383c4642f8e</x:t>
  </x:si>
  <x:si>
    <x:t xml:space="preserve">https://firebasestorage.googleapis.com/v0/b/recovery-tools.firebasestorage.app/o/assets%2FASSET-MCT-BALM-01-001%2FMCT%20Balm%20thumbnail.jpg?alt=media&amp;token=c63e0da4-cc8b-435a-a0f6-ce8510bfab92</x:t>
  </x:si>
  <x:si>
    <x:t xml:space="preserve">ASSET-CUPPING-SET-001</x:t>
  </x:si>
  <x:si>
    <x:t xml:space="preserve">Cupping Set Product</x:t>
  </x:si>
  <x:si>
    <x:t xml:space="preserve">Cupping Set Product Image</x:t>
  </x:si>
  <x:si>
    <x:t xml:space="preserve">https://firebasestorage.googleapis.com/v0/b/recovery-tools.firebasestorage.app/o/assets%2FASSET-CUPPING-SET-001%2FCupping%20Set.jpg?alt=media&amp;token=bf5a3f2b-cd87-4fbf-9efd-baf6f8c9fc38</x:t>
  </x:si>
  <x:si>
    <x:t xml:space="preserve">https://firebasestorage.googleapis.com/v0/b/recovery-tools.firebasestorage.app/o/assets%2FASSET-CUPPING-SET-001%2FCupping%20Set%20thumbnail.jpg?alt=media&amp;token=9cfc7aeb-ed6c-4408-b81c-d9a92659279e</x:t>
  </x:si>
  <x:si>
    <x:t xml:space="preserve">ASSET-TRIGGER-BALL-6CM-001</x:t>
  </x:si>
  <x:si>
    <x:t xml:space="preserve">Trigger Ball Product</x:t>
  </x:si>
  <x:si>
    <x:t xml:space="preserve">Trigger Ball Product Image</x:t>
  </x:si>
  <x:si>
    <x:t xml:space="preserve">https://firebasestorage.googleapis.com/v0/b/recovery-tools.firebasestorage.app/o/assets%2FASSET-TRIGGER-BALL-6CM-001%2FTrigger%20Ball.jpg?alt=media&amp;token=8f53e349-1e7e-498e-a2c0-5b87816d899c</x:t>
  </x:si>
  <x:si>
    <x:t xml:space="preserve">https://firebasestorage.googleapis.com/v0/b/recovery-tools.firebasestorage.app/o/assets%2FASSET-TRIGGER-BALL-6CM-001%2FTrigger%20Ball%20thumbnail.jpg?alt=media&amp;token=2a862985-3e23-4b8d-94b2-d9e2a93a986f</x:t>
  </x:si>
  <x:si>
    <x:t xml:space="preserve">ASSET-HEAT-PATCHES-6PK-001</x:t>
  </x:si>
  <x:si>
    <x:t xml:space="preserve">Heat Patches Product</x:t>
  </x:si>
  <x:si>
    <x:t xml:space="preserve">Heat Patches Product Image</x:t>
  </x:si>
  <x:si>
    <x:t xml:space="preserve">https://firebasestorage.googleapis.com/v0/b/recovery-tools.firebasestorage.app/o/assets%2FASSET-HEAT-PATCHES-6PK-001%2FHeat%20Patch.jpg?alt=media&amp;token=4834b8e2-2ab2-45e8-aa34-8ec9a42915f5</x:t>
  </x:si>
  <x:si>
    <x:t xml:space="preserve">https://firebasestorage.googleapis.com/v0/b/recovery-tools.firebasestorage.app/o/assets%2FASSET-HEAT-PATCHES-6PK-001%2FHeat%20Patch%20thumbnail.jpg?alt=media&amp;token=9402b3db-071d-4a2e-b85f-4b31996275e5</x:t>
  </x:si>
  <x:si>
    <x:t xml:space="preserve">DisplayStatus</x:t>
  </x:si>
  <x:si>
    <x:t xml:space="preserve">ContextTitle</x:t>
  </x:si>
  <x:si>
    <x:t xml:space="preserve">ContextAltText</x:t>
  </x:si>
  <x:si>
    <x:t xml:space="preserve">ITEMASSET-GLOSSARY-001</x:t>
  </x:si>
  <x:si>
    <x:t xml:space="preserve">ITEM-BUS-001</x:t>
  </x:si>
  <x:si>
    <x:t xml:space="preserve">Define Recovery Tools Terms</x:t>
  </x:si>
  <x:si>
    <x:t xml:space="preserve">Recovery Tools Glossary</x:t>
  </x:si>
  <x:si>
    <x:t xml:space="preserve">Recovery Tools Definitions</x:t>
  </x:si>
  <x:si>
    <x:t xml:space="preserve">ITEMASSET-COMMERCE-POLICY-001</x:t>
  </x:si>
  <x:si>
    <x:t xml:space="preserve">ITEM-COMMERCE-POLICY</x:t>
  </x:si>
  <x:si>
    <x:t xml:space="preserve">Recovery Tools Commerce Policy</x:t>
  </x:si>
  <x:si>
    <x:t xml:space="preserve">ITEMASSET-PARTNER-AGREEMENT-001</x:t>
  </x:si>
  <x:si>
    <x:t xml:space="preserve">ITEM-PARTNER-AGREEMENT</x:t>
  </x:si>
  <x:si>
    <x:t xml:space="preserve">Recovery Tools Partner Agreement</x:t>
  </x:si>
  <x:si>
    <x:t xml:space="preserve">ITEMASSET-PRIVACY-POLICY-001</x:t>
  </x:si>
  <x:si>
    <x:t xml:space="preserve">ITEM-PRIVACY-POLICY</x:t>
  </x:si>
  <x:si>
    <x:t xml:space="preserve">Recovery Tools Privacy Policy</x:t>
  </x:si>
  <x:si>
    <x:t xml:space="preserve">ITEMASSET-TERMS-CONDITIONS-001</x:t>
  </x:si>
  <x:si>
    <x:t xml:space="preserve">ITEM-TERMS-CONDITIONS</x:t>
  </x:si>
  <x:si>
    <x:t xml:space="preserve">Recovery Tools Terms and Conditions</x:t>
  </x:si>
  <x:si>
    <x:t xml:space="preserve">ITEMASSET-EPSOM-SALT-001</x:t>
  </x:si>
  <x:si>
    <x:t xml:space="preserve">Recovery Tools Epsom Salts Product</x:t>
  </x:si>
  <x:si>
    <x:t xml:space="preserve">ITEMASSET-MCT-BALM-01-001</x:t>
  </x:si>
  <x:si>
    <x:t xml:space="preserve">Recovery Tools MCT Balm Product</x:t>
  </x:si>
  <x:si>
    <x:t xml:space="preserve">ITEMASSET-CUPPING-SET-001</x:t>
  </x:si>
  <x:si>
    <x:t xml:space="preserve">Recovery Tools Cupping Set Product</x:t>
  </x:si>
  <x:si>
    <x:t xml:space="preserve">ITEMASSET-TRIGGER-BALL-6CM-001</x:t>
  </x:si>
  <x:si>
    <x:t xml:space="preserve">Recovery Tools Trigger Ball Product</x:t>
  </x:si>
  <x:si>
    <x:t xml:space="preserve">ITEMASSET-HEAT-PATCHES-6PK-001</x:t>
  </x:si>
  <x:si>
    <x:t xml:space="preserve">Recovery Tools Heat Patches Product</x:t>
  </x:si>
  <x:si>
    <x:t xml:space="preserve">ITEMASSET-TRIGGER-BALL-6CM-002</x:t>
  </x:si>
  <x:si>
    <x:t xml:space="preserve">product relating to trigger ball course</x:t>
  </x:si>
  <x:si>
    <x:t xml:space="preserve">Recovery Tools Trigger Ball Course</x:t>
  </x:si>
  <x:si>
    <x:t xml:space="preserve">Inventory ID</x:t>
  </x:si>
  <x:si>
    <x:t xml:space="preserve">InventoryItemName</x:t>
  </x:si>
  <x:si>
    <x:t xml:space="preserve">Part Cost</x:t>
  </x:si>
  <x:si>
    <x:t xml:space="preserve">Part 1 Supplier</x:t>
  </x:si>
  <x:si>
    <x:t xml:space="preserve">Stock Qty</x:t>
  </x:si>
  <x:si>
    <x:t xml:space="preserve">INV-SILICONECUP</x:t>
  </x:si>
  <x:si>
    <x:t xml:space="preserve">Cupping Set</x:t>
  </x:si>
  <x:si>
    <x:t xml:space="preserve">Assembled</x:t>
  </x:si>
  <x:si>
    <x:t xml:space="preserve">INV-SILICONECUP-01</x:t>
  </x:si>
  <x:si>
    <x:t xml:space="preserve">Silicone Cup Small</x:t>
  </x:si>
  <x:si>
    <x:t xml:space="preserve">RightBest Medical Device Limited</x:t>
  </x:si>
  <x:si>
    <x:t xml:space="preserve">INV-SILICONECUP-02</x:t>
  </x:si>
  <x:si>
    <x:t xml:space="preserve">Silicone Cup Large</x:t>
  </x:si>
  <x:si>
    <x:t xml:space="preserve">INV-SILICONECUP-03</x:t>
  </x:si>
  <x:si>
    <x:t xml:space="preserve">MCT Balm 20g</x:t>
  </x:si>
  <x:si>
    <x:t xml:space="preserve">ITEM-MCTBLAM-01</x:t>
  </x:si>
  <x:si>
    <x:t xml:space="preserve">Hemp Shack</x:t>
  </x:si>
  <x:si>
    <x:t xml:space="preserve">INV-SILICONECUP-04</x:t>
  </x:si>
  <x:si>
    <x:t xml:space="preserve">Hard Case</x:t>
  </x:si>
  <x:si>
    <x:t xml:space="preserve">ITEM-HARDCASE-01</x:t>
  </x:si>
  <x:si>
    <x:t xml:space="preserve">Temu</x:t>
  </x:si>
  <x:si>
    <x:t xml:space="preserve">INV-SILICONECUP-05</x:t>
  </x:si>
  <x:si>
    <x:t xml:space="preserve">Key Chain</x:t>
  </x:si>
  <x:si>
    <x:t xml:space="preserve">ITEM-KEYTAG-01</x:t>
  </x:si>
  <x:si>
    <x:t xml:space="preserve">INV-TRIGGER-BALL-BLACK</x:t>
  </x:si>
  <x:si>
    <x:t xml:space="preserve">Trigger Ball Black Assembled</x:t>
  </x:si>
  <x:si>
    <x:t xml:space="preserve">INV-TRIGGER-BALL-BLUE</x:t>
  </x:si>
  <x:si>
    <x:t xml:space="preserve">Trigger Ball Blue Assembled</x:t>
  </x:si>
  <x:si>
    <x:t xml:space="preserve">INV-TRIGGER-BALL-PURPLE</x:t>
  </x:si>
  <x:si>
    <x:t xml:space="preserve">Trigger Ball Purple Assembled</x:t>
  </x:si>
  <x:si>
    <x:t xml:space="preserve">INV-TRIGGER-BALL-GREEN</x:t>
  </x:si>
  <x:si>
    <x:t xml:space="preserve">Trigger Ball Green Assembled</x:t>
  </x:si>
  <x:si>
    <x:t xml:space="preserve">INV-TRIGGER-BALL-GREY</x:t>
  </x:si>
  <x:si>
    <x:t xml:space="preserve">Trigger Ball Grey Assembled</x:t>
  </x:si>
  <x:si>
    <x:t xml:space="preserve">INV-TRIGGER-BALL-BLACK-01</x:t>
  </x:si>
  <x:si>
    <x:t xml:space="preserve">INV-TRIGGER-BALL-BLUE-01</x:t>
  </x:si>
  <x:si>
    <x:t xml:space="preserve">INV-TRIGGER-BALL-PURPLE-01</x:t>
  </x:si>
  <x:si>
    <x:t xml:space="preserve">INV-TRIGGER-BALL-GREEN-01</x:t>
  </x:si>
  <x:si>
    <x:t xml:space="preserve">INV-TRIGGER-BALL-GREY-01</x:t>
  </x:si>
  <x:si>
    <x:t xml:space="preserve">INV-HEAT-PATCHES-01</x:t>
  </x:si>
  <x:si>
    <x:t xml:space="preserve">Heat Patches x6 Assembled</x:t>
  </x:si>
  <x:si>
    <x:t xml:space="preserve">INV-HEAT-PATCHES-02</x:t>
  </x:si>
  <x:si>
    <x:t xml:space="preserve">Heat Patch</x:t>
  </x:si>
  <x:si>
    <x:t xml:space="preserve">ITEM-HEAT-PATCHES-01</x:t>
  </x:si>
  <x:si>
    <x:t xml:space="preserve">INV-EPSOM-SALTS-500G</x:t>
  </x:si>
  <x:si>
    <x:t xml:space="preserve">Epsom Salts 500g Assembled</x:t>
  </x:si>
  <x:si>
    <x:t xml:space="preserve">UNK</x:t>
  </x:si>
  <x:si>
    <x:t xml:space="preserve">INV-EPSOM-SALTS-01</x:t>
  </x:si>
  <x:si>
    <x:t xml:space="preserve">ITEM-EPSOM-01</x:t>
  </x:si>
  <x:si>
    <x:t xml:space="preserve">INV-MCTBLAM-01</x:t>
  </x:si>
  <x:si>
    <x:t xml:space="preserve">MCT Muscle Balm 50g</x:t>
  </x:si>
  <x:si>
    <x:t xml:space="preserve">INV-PACK-BOX-01</x:t>
  </x:si>
  <x:si>
    <x:t xml:space="preserve">Box 18x8x8cm</x:t>
  </x:si>
  <x:si>
    <x:t xml:space="preserve">ITEM-PACK-BOX-01</x:t>
  </x:si>
  <x:si>
    <x:t xml:space="preserve">Printing Blue</x:t>
  </x:si>
  <x:si>
    <x:t xml:space="preserve">INV-PACK-BOX-02</x:t>
  </x:si>
  <x:si>
    <x:t xml:space="preserve">Box7x7x7cm</x:t>
  </x:si>
  <x:si>
    <x:t xml:space="preserve">INV-PACK-BAG-01</x:t>
  </x:si>
  <x:si>
    <x:t xml:space="preserve">500g bag</x:t>
  </x:si>
  <x:si>
    <x:t xml:space="preserve">INV-STICKER-EPSOM-BACK</x:t>
  </x:si>
  <x:si>
    <x:t xml:space="preserve">Canva</x:t>
  </x:si>
  <x:si>
    <x:t xml:space="preserve">INV-STICKER-EPSOM-FRONT</x:t>
  </x:si>
  <x:si>
    <x:t xml:space="preserve">INV-SHIPPING-BAG</x:t>
  </x:si>
  <x:si>
    <x:t xml:space="preserve">Shipping Bag</x:t>
  </x:si>
  <x:si>
    <x:t xml:space="preserve">ITEM-SHIPPING-BAG</x:t>
  </x:si>
  <x:si>
    <x:t xml:space="preserve">Aus Post</x:t>
  </x:si>
  <x:si>
    <x:t xml:space="preserve">INV-STICKER-01</x:t>
  </x:si>
  <x:si>
    <x:t xml:space="preserve">INV-STICKER-02</x:t>
  </x:si>
  <x:si>
    <x:t xml:space="preserve">INV-STICKER-03</x:t>
  </x:si>
  <x:si>
    <x:t xml:space="preserve">ItemAccessID</x:t>
  </x:si>
  <x:si>
    <x:t xml:space="preserve">AccessType</x:t>
  </x:si>
  <x:si>
    <x:t xml:space="preserve">AccessID</x:t>
  </x:si>
  <x:si>
    <x:t xml:space="preserve">Course Product</x:t>
  </x:si>
  <x:si>
    <x:t xml:space="preserve">Workshop Product</x:t>
  </x:si>
  <x:si>
    <x:t xml:space="preserve">Workshop</x:t>
  </x:si>
  <x:si>
    <x:t xml:space="preserve">Bundle Product</x:t>
  </x:si>
  <x:si>
    <x:t xml:space="preserve">Blueprint</x:t>
  </x:si>
  <x:si>
    <x:t xml:space="preserve">UserAccessID</x:t>
  </x:si>
  <x:si>
    <x:t xml:space="preserve">UserID</x:t>
  </x:si>
  <x:si>
    <x:t xml:space="preserve">GrantedDate</x:t>
  </x:si>
  <x:si>
    <x:t xml:space="preserve">ExpiryDate</x:t>
  </x:si>
  <x:si>
    <x:t xml:space="preserve">SourceItemID</x:t>
  </x:si>
  <x:si>
    <x:t xml:space="preserve">AccessCodeID</x:t>
  </x:si>
  <x:si>
    <x:t xml:space="preserve">Code</x:t>
  </x:si>
  <x:si>
    <x:t xml:space="preserve">UnlockType</x:t>
  </x:si>
  <x:si>
    <x:t xml:space="preserve">UnlockID</x:t>
  </x:si>
  <x:si>
    <x:t xml:space="preserve">MaxUses</x:t>
  </x:si>
  <x:si>
    <x:t xml:space="preserve">UsedCount</x:t>
  </x:si>
  <x:si>
    <x:t xml:space="preserve">RedeemedByUserID</x:t>
  </x:si>
  <x:si>
    <x:t xml:space="preserve">RedeemedDate</x:t>
  </x:si>
  <x:si>
    <x:t xml:space="preserve">DiscountCodeID</x:t>
  </x:si>
  <x:si>
    <x:t xml:space="preserve">DiscountType</x:t>
  </x:si>
  <x:si>
    <x:t xml:space="preserve">DiscountValue</x:t>
  </x:si>
  <x:si>
    <x:t xml:space="preserve">StartDate</x:t>
  </x:si>
  <x:si>
    <x:t xml:space="preserve">EndDate</x:t>
  </x:si>
  <x:si>
    <x:t xml:space="preserve">MinimumSpend</x:t>
  </x:si>
  <x:si>
    <x:t xml:space="preserve">AppliesTo</x:t>
  </x:si>
  <x:si>
    <x:t xml:space="preserve">CategoryID</x:t>
  </x:si>
  <x:si>
    <x:t xml:space="preserve">FirstPurchaseOnly</x:t>
  </x:si>
  <x:si>
    <x:t xml:space="preserve">Stackable</x:t>
  </x:si>
  <x:si>
    <x:t xml:space="preserve">Type</x:t>
  </x:si>
  <x:si>
    <x:t xml:space="preserve">CaseID</x:t>
  </x:si>
  <x:si>
    <x:t xml:space="preserve">Case Label</x:t>
  </x:si>
  <x:si>
    <x:t xml:space="preserve">InitialPresentation</x:t>
  </x:si>
  <x:si>
    <x:t xml:space="preserve">WorkingDiagnosis</x:t>
  </x:si>
  <x:si>
    <x:t xml:space="preserve">ReferralRequired?</x:t>
  </x:si>
  <x:si>
    <x:t xml:space="preserve">ReferralReason</x:t>
  </x:si>
  <x:si>
    <x:t xml:space="preserve">ReferralSummaryOutput</x:t>
  </x:si>
  <x:si>
    <x:t xml:space="preserve">OverallClinicalSummary</x:t>
  </x:si>
  <x:si>
    <x:t xml:space="preserve">LogID</x:t>
  </x:si>
  <x:si>
    <x:t xml:space="preserve">Date</x:t>
  </x:si>
  <x:si>
    <x:t xml:space="preserve">Session Label</x:t>
  </x:si>
  <x:si>
    <x:t xml:space="preserve">SelectedPlanTemplateID</x:t>
  </x:si>
  <x:si>
    <x:t xml:space="preserve">Irritability</x:t>
  </x:si>
  <x:si>
    <x:t xml:space="preserve">Severity</x:t>
  </x:si>
  <x:si>
    <x:t xml:space="preserve">SessionGoal</x:t>
  </x:si>
  <x:si>
    <x:t xml:space="preserve">OverallAssessment</x:t>
  </x:si>
  <x:si>
    <x:t xml:space="preserve">NextRecommendedPlanID</x:t>
  </x:si>
  <x:si>
    <x:t xml:space="preserve">NextReviewTimingID</x:t>
  </x:si>
  <x:si>
    <x:t xml:space="preserve">SOAPOutput</x:t>
  </x:si>
  <x:si>
    <x:t xml:space="preserve">LogItemID</x:t>
  </x:si>
  <x:si>
    <x:t xml:space="preserve">ItemOrder</x:t>
  </x:si>
  <x:si>
    <x:t xml:space="preserve">Side</x:t>
  </x:si>
  <x:si>
    <x:t xml:space="preserve">PerformedStatus</x:t>
  </x:si>
  <x:si>
    <x:t xml:space="preserve">Result</x:t>
  </x:si>
  <x:si>
    <x:t xml:space="preserve">Result Value</x:t>
  </x:si>
  <x:si>
    <x:t xml:space="preserve">Result Unit</x:t>
  </x:si>
  <x:si>
    <x:t xml:space="preserve">FindingNotes</x:t>
  </x:si>
  <x:si>
    <x:t xml:space="preserve">DosageSets</x:t>
  </x:si>
  <x:si>
    <x:t xml:space="preserve">DosageReps</x:t>
  </x:si>
  <x:si>
    <x:t xml:space="preserve">DosageTime</x:t>
  </x:si>
  <x:si>
    <x:t xml:space="preserve">TreatmentModification</x:t>
  </x:si>
  <x:si>
    <x:t xml:space="preserve">ExerciseModification</x:t>
  </x:si>
  <x:si>
    <x:t xml:space="preserve">ClinicalReasoning</x:t>
  </x:si>
  <x:si>
    <x:t xml:space="preserve">NextSessionAction</x:t>
  </x:si>
  <x:si>
    <x:t xml:space="preserve">SOAPLine</x:t>
  </x:si>
  <x:si>
    <x:t xml:space="preserve">RecommendationID</x:t>
  </x:si>
  <x:si>
    <x:t xml:space="preserve">CurrentPhase</x:t>
  </x:si>
  <x:si>
    <x:t xml:space="preserve">Trigger</x:t>
  </x:si>
  <x:si>
    <x:t xml:space="preserve">SuggestedNextPlan</x:t>
  </x:si>
  <x:si>
    <x:t xml:space="preserve">SuggestedTiming</x:t>
  </x:si>
  <x:si>
    <x:t xml:space="preserve">DDxResultID</x:t>
  </x:si>
  <x:si>
    <x:t xml:space="preserve">AssessmentLogID</x:t>
  </x:si>
  <x:si>
    <x:t xml:space="preserve">MatchScore</x:t>
  </x:si>
  <x:si>
    <x:t xml:space="preserve">Confidence</x:t>
  </x:si>
  <x:si>
    <x:t xml:space="preserve">RecommendedPlan</x:t>
  </x:si>
  <x:si>
    <x:t xml:space="preserve">OrderID</x:t>
  </x:si>
  <x:si>
    <x:t xml:space="preserve">FirebaseUserID</x:t>
  </x:si>
  <x:si>
    <x:t xml:space="preserve">StripeCheckoutSessionID</x:t>
  </x:si>
  <x:si>
    <x:t xml:space="preserve">StripePaymentIntentID</x:t>
  </x:si>
  <x:si>
    <x:t xml:space="preserve">StripeCustomerID</x:t>
  </x:si>
  <x:si>
    <x:t xml:space="preserve">InvoiceID</x:t>
  </x:si>
  <x:si>
    <x:t xml:space="preserve">OrderDate</x:t>
  </x:si>
  <x:si>
    <x:t xml:space="preserve">OrderStatus</x:t>
  </x:si>
  <x:si>
    <x:t xml:space="preserve">PaymentStatus</x:t>
  </x:si>
  <x:si>
    <x:t xml:space="preserve">FulfilmentStatus</x:t>
  </x:si>
  <x:si>
    <x:t xml:space="preserve">Subtotal</x:t>
  </x:si>
  <x:si>
    <x:t xml:space="preserve">ShippingAmount</x:t>
  </x:si>
  <x:si>
    <x:t xml:space="preserve">Total</x:t>
  </x:si>
  <x:si>
    <x:t xml:space="preserve">CustomerName</x:t>
  </x:si>
  <x:si>
    <x:t xml:space="preserve">CustomerEmail</x:t>
  </x:si>
  <x:si>
    <x:t xml:space="preserve">CustomerPhone</x:t>
  </x:si>
  <x:si>
    <x:t xml:space="preserve">ShippingAddressID</x:t>
  </x:si>
  <x:si>
    <x:t xml:space="preserve">BillingAddressID</x:t>
  </x:si>
  <x:si>
    <x:t xml:space="preserve">TrackingID</x:t>
  </x:si>
  <x:si>
    <x:t xml:space="preserve">ShippingCarrier</x:t>
  </x:si>
  <x:si>
    <x:t xml:space="preserve">ShippingURL</x:t>
  </x:si>
  <x:si>
    <x:t xml:space="preserve">PackedAt</x:t>
  </x:si>
  <x:si>
    <x:t xml:space="preserve">ShippedAt</x:t>
  </x:si>
  <x:si>
    <x:t xml:space="preserve">DeliveredAt</x:t>
  </x:si>
  <x:si>
    <x:t xml:space="preserve">AdminNotes</x:t>
  </x:si>
  <x:si>
    <x:t xml:space="preserve">CreatedAt</x:t>
  </x:si>
  <x:si>
    <x:t xml:space="preserve">UpdatedAt</x:t>
  </x:si>
  <x:si>
    <x:t xml:space="preserve">OrderItemID</x:t>
  </x:si>
  <x:si>
    <x:t xml:space="preserve">Quantity</x:t>
  </x:si>
  <x:si>
    <x:t xml:space="preserve">UnitPrice</x:t>
  </x:si>
  <x:si>
    <x:t xml:space="preserve">LineTotal</x:t>
  </x:si>
  <x:si>
    <x:t xml:space="preserve">ProductType</x:t>
  </x:si>
  <x:si>
    <x:t xml:space="preserve">RequiresShipping</x:t>
  </x:si>
  <x:si>
    <x:t xml:space="preserve">AccessGranted</x:t>
  </x:si>
  <x:si>
    <x:t xml:space="preserve">RelatedPlanID</x:t>
  </x:si>
  <x:si>
    <x:t xml:space="preserve">RelatedCourseID</x:t>
  </x:si>
  <x:si>
    <x:t xml:space="preserve">RelatedWorkshopID</x:t>
  </x:si>
  <x:si>
    <x:t xml:space="preserve">RefundStatus</x:t>
  </x:si>
  <x:si>
    <x:t xml:space="preserve">AddressID</x:t>
  </x:si>
  <x:si>
    <x:t xml:space="preserve">AddressType</x:t>
  </x:si>
  <x:si>
    <x:t xml:space="preserve">Name</x:t>
  </x:si>
  <x:si>
    <x:t xml:space="preserve">Phone</x:t>
  </x:si>
  <x:si>
    <x:t xml:space="preserve">Line1</x:t>
  </x:si>
  <x:si>
    <x:t xml:space="preserve">Line2</x:t>
  </x:si>
  <x:si>
    <x:t xml:space="preserve">City</x:t>
  </x:si>
  <x:si>
    <x:t xml:space="preserve">State</x:t>
  </x:si>
  <x:si>
    <x:t xml:space="preserve">Postcode</x:t>
  </x:si>
  <x:si>
    <x:t xml:space="preserve">Country</x:t>
  </x:si>
  <x:si>
    <x:t xml:space="preserve">ShipmentID</x:t>
  </x:si>
  <x:si>
    <x:t xml:space="preserve">Carrier</x:t>
  </x:si>
  <x:si>
    <x:t xml:space="preserve">TrackingURL</x:t>
  </x:si>
  <x:si>
    <x:t xml:space="preserve">ShippingLabelURL</x:t>
  </x:si>
  <x:si>
    <x:t xml:space="preserve">PackedBy</x:t>
  </x:si>
  <x:si>
    <x:t xml:space="preserve">ShippingCost</x:t>
  </x:si>
  <x:si>
    <x:t xml:space="preserve">PackageWeight</x:t>
  </x:si>
  <x:si>
    <x:t xml:space="preserve">PackageNotes</x:t>
  </x:si>
  <x:si>
    <x:t xml:space="preserve">StripeEventID</x:t>
  </x:si>
  <x:si>
    <x:t xml:space="preserve">EventType</x:t>
  </x:si>
  <x:si>
    <x:t xml:space="preserve">StripeCreatedAt</x:t>
  </x:si>
  <x:si>
    <x:t xml:space="preserve">ProcessedAt</x:t>
  </x:si>
  <x:si>
    <x:t xml:space="preserve">ProcessingStatus</x:t>
  </x:si>
  <x:si>
    <x:t xml:space="preserve">RawEventStored</x:t>
  </x:si>
  <x:si>
    <x:t xml:space="preserve">ErrorMessage</x:t>
  </x:si>
  <x:si>
    <x:t xml:space="preserve">StatusHistoryID</x:t>
  </x:si>
  <x:si>
    <x:t xml:space="preserve">ChangedByUserID</x:t>
  </x:si>
  <x:si>
    <x:t xml:space="preserve">PreviousOrderStatus</x:t>
  </x:si>
  <x:si>
    <x:t xml:space="preserve">NewOrderStatus</x:t>
  </x:si>
  <x:si>
    <x:t xml:space="preserve">PreviousPaymentStatus</x:t>
  </x:si>
  <x:si>
    <x:t xml:space="preserve">NewPaymentStatus</x:t>
  </x:si>
  <x:si>
    <x:t xml:space="preserve">PreviousFulfilmentStatus</x:t>
  </x:si>
  <x:si>
    <x:t xml:space="preserve">NewFulfilmentStatus</x:t>
  </x:si>
  <x:si>
    <x:t xml:space="preserve">ChangedAt</x:t>
  </x:si>
  <x:si>
    <x:t xml:space="preserve">Invoice ID</x:t>
  </x:si>
  <x:si>
    <x:t xml:space="preserve">Create Invoice</x:t>
  </x:si>
  <x:si>
    <x:t xml:space="preserve">Invoice PDF</x:t>
  </x:si>
  <x:si>
    <x:t xml:space="preserve">Generate Receipt</x:t>
  </x:si>
  <x:si>
    <x:t xml:space="preserve">Receipt PDF</x:t>
  </x:si>
  <x:si>
    <x:t xml:space="preserve">Business</x:t>
  </x:si>
  <x:si>
    <x:t xml:space="preserve">Contact</x:t>
  </x:si>
  <x:si>
    <x:t xml:space="preserve">Website</x:t>
  </x:si>
  <x:si>
    <x:t xml:space="preserve">Email</x:t>
  </x:si>
  <x:si>
    <x:t xml:space="preserve">Products</x:t>
  </x:si>
  <x:si>
    <x:t xml:space="preserve">July Ying</x:t>
  </x:si>
  <x:si>
    <x:t xml:space="preserve">https://cuppinghealth.com/</x:t>
  </x:si>
  <x:si>
    <x:t xml:space="preserve">sales-us@cuppinghealth.com</x:t>
  </x:si>
  <x:si>
    <x:t xml:space="preserve">whatsapp/wechat: +8615384074670</x:t>
  </x:si>
  <x:si>
    <x:t xml:space="preserve">Silicone Cups</x:t>
  </x:si>
  <x:si>
    <x:t xml:space="preserve">500 cups/$766USD=$1200.57AUD=$2.5 ea approx</x:t>
  </x:si>
  <x:si>
    <x:t xml:space="preserve">Gracey Hamilton</x:t>
  </x:si>
  <x:si>
    <x:t xml:space="preserve">printingblue.com.au</x:t>
  </x:si>
  <x:si>
    <x:t xml:space="preserve">gracey@printingblue.com.au</x:t>
  </x:si>
  <x:si>
    <x:t xml:space="preserve">03 86521144</x:t>
  </x:si>
  <x:si>
    <x:t xml:space="preserve">Boxes</x:t>
  </x:si>
  <x:si>
    <x:r>
      <x:rPr>
        <x:u val="single"/>
        <x:sz val="11"/>
        <x:color rgb="FF1155CC"/>
        <x:rFont val="ft-icon"/>
      </x:rPr>
      <x:t xml:space="preserve">Fuzhou Haomin Imp. &amp; Exp. Co., Ltd.</x:t>
    </x:r>
  </x:si>
  <x:si>
    <x:t xml:space="preserve">Made in china</x:t>
  </x:si>
  <x:si>
    <x:t xml:space="preserve">Madeinchina.com</x:t>
  </x:si>
  <x:si>
    <x:t xml:space="preserve">Trigger Balls</x:t>
  </x:si>
  <x:si>
    <x:t xml:space="preserve">100 pieces /$363USD = $569AUD = $5.69 ea</x:t>
  </x:si>
  <x:si>
    <x:t xml:space="preserve">packets, engravable keychains, sunglasses cases</x:t>
  </x:si>
  <x:si>
    <x:t xml:space="preserve">Morayfield Produce</x:t>
  </x:si>
  <x:si>
    <x:t xml:space="preserve">(07)54978168</x:t>
  </x:si>
  <x:si>
    <x:t xml:space="preserve">$27.5 per 25kg</x:t>
  </x:si>
  <x:si>
    <x:t xml:space="preserve">Hebei Feifan Biotechnology CO.</x:t>
  </x:si>
  <x:si>
    <x:t xml:space="preserve">Dora Zhang</x:t>
  </x:si>
  <x:si>
    <x:t xml:space="preserve">Alibaba</x:t>
  </x:si>
  <x:si>
    <x:t xml:space="preserve">Heat Patches</x:t>
  </x:si>
  <x:si>
    <x:t xml:space="preserve">$281 for 300</x:t>
  </x:si>
  <x:si>
    <x:t xml:space="preserve">Qwozzie Designs</x:t>
  </x:si>
  <x:si>
    <x:t xml:space="preserve">Traey Stack</x:t>
  </x:si>
  <x:si>
    <x:t xml:space="preserve">Stickers and Labels</x:t>
  </x:si>
  <x:si>
    <x:t xml:space="preserve">20c ea</x:t>
  </x:si>
  <x:si>
    <x:t xml:space="preserve">Shipping Address Line 1</x:t>
  </x:si>
  <x:si>
    <x:t xml:space="preserve">Shipping Address Line 2</x:t>
  </x:si>
  <x:si>
    <x:t xml:space="preserve">Post Code</x:t>
  </x:si>
  <x:si>
    <x:t xml:space="preserve">Billing Address Same as Shipping?</x:t>
  </x:si>
  <x:si>
    <x:t xml:space="preserve">ABN</x:t>
  </x:si>
  <x:si>
    <x:t xml:space="preserve">Business Type</x:t>
  </x:si>
  <x:si>
    <x:t xml:space="preserve">Business Address</x:t>
  </x:si>
  <x:si>
    <x:t xml:space="preserve">Business Phone</x:t>
  </x:si>
  <x:si>
    <x:t xml:space="preserve">Business Email</x:t>
  </x:si>
  <x:si>
    <x:t xml:space="preserve">UserStatus</x:t>
  </x:si>
  <x:si>
    <x:t xml:space="preserve">LastLoginAt</x:t>
  </x:si>
  <x:si>
    <x:t xml:space="preserve">Nancy Jackson</x:t>
  </x:si>
  <x:si>
    <x:t xml:space="preserve">hello@recoverytools.au</x:t>
  </x:si>
  <x:si>
    <x:t xml:space="preserve">AffiliateID</x:t>
  </x:si>
  <x:si>
    <x:t xml:space="preserve">Affiliate Code</x:t>
  </x:si>
  <x:si>
    <x:t xml:space="preserve">CommissionRate</x:t>
  </x:si>
  <x:si>
    <x:t xml:space="preserve">StripeAccountID</x:t>
  </x:si>
  <x:si>
    <x:t xml:space="preserve">StripeOnboardingStatus</x:t>
  </x:si>
  <x:si>
    <x:t xml:space="preserve">ApprovedAt</x:t>
  </x:si>
  <x:si>
    <x:t xml:space="preserve">ApprovedByUserID</x:t>
  </x:si>
  <x:si>
    <x:t xml:space="preserve">AFFILIATE-001</x:t>
  </x:si>
  <x:si>
    <x:t xml:space="preserve">NANCYJAYNE</x:t>
  </x:si>
  <x:si>
    <x:t xml:space="preserve">USER-002</x:t>
  </x:si>
  <x:si>
    <x:t xml:space="preserve">TherapistID</x:t>
  </x:si>
  <x:si>
    <x:t xml:space="preserve">Therapist Code</x:t>
  </x:si>
  <x:si>
    <x:t xml:space="preserve">BusinessName</x:t>
  </x:si>
  <x:si>
    <x:t xml:space="preserve">Qualifications</x:t>
  </x:si>
  <x:si>
    <x:t xml:space="preserve">RegistrationNumber</x:t>
  </x:si>
  <x:si>
    <x:t xml:space="preserve">Bio</x:t>
  </x:si>
  <x:si>
    <x:t xml:space="preserve">Specialties</x:t>
  </x:si>
  <x:si>
    <x:t xml:space="preserve">THERAPIST-001</x:t>
  </x:si>
  <x:si>
    <x:t xml:space="preserve">AdminID</x:t>
  </x:si>
  <x:si>
    <x:t xml:space="preserve">Admin Code</x:t>
  </x:si>
  <x:si>
    <x:t xml:space="preserve">AdminLevel</x:t>
  </x:si>
  <x:si>
    <x:t xml:space="preserve">ADMIN-001</x:t>
  </x:si>
  <x:si>
    <x:t xml:space="preserve">CEO</x:t>
  </x:si>
  <x:si>
    <x:t xml:space="preserve">InstructorID</x:t>
  </x:si>
  <x:si>
    <x:t xml:space="preserve">InstructorCode</x:t>
  </x:si>
  <x:si>
    <x:t xml:space="preserve">DisplayName</x:t>
  </x:si>
  <x:si>
    <x:t xml:space="preserve">ProfileImageURL</x:t>
  </x:si>
  <x:si>
    <x:t xml:space="preserve">CanTeachClientWorkshops</x:t>
  </x:si>
  <x:si>
    <x:t xml:space="preserve">CanTeachTherapistWorkshops</x:t>
  </x:si>
  <x:si>
    <x:t xml:space="preserve">CanCreateCourses</x:t>
  </x:si>
  <x:si>
    <x:t xml:space="preserve">CanCreateWorkshops</x:t>
  </x:si>
  <x:si>
    <x:t xml:space="preserve">INSTRUCTOR-001</x:t>
  </x:si>
  <x:si>
    <x:t xml:space="preserve">INST001</x:t>
  </x:si>
  <x:si>
    <x:t xml:space="preserve">Clinical Myotherapist and Pilates Instructor</x:t>
  </x:si>
  <x:si>
    <x:t xml:space="preserve">Neural and chronic pain</x:t>
  </x:si>
  <x:si>
    <x:t xml:space="preserve">Nancy Jayne Body Solutions</x:t>
  </x:si>
  <x:si>
    <x:t xml:space="preserve">nancyjayne.com</x:t>
  </x:si>
  <x:si>
    <x:t xml:space="preserve">YES</x:t>
  </x:si>
</x:sst>
</file>

<file path=xl/styles.xml><?xml version="1.0" encoding="utf-8"?>
<x:styleSheet xmlns:x="http://schemas.openxmlformats.org/spreadsheetml/2006/main">
  <x:numFmts count="5">
    <x:numFmt numFmtId="164" formatCode="d/m"/>
    <x:numFmt numFmtId="165" formatCode="d-m"/>
    <x:numFmt numFmtId="166" formatCode="dd/mm/yyyy hh:mm"/>
    <x:numFmt numFmtId="167" formatCode="dd/mm/yyyy"/>
    <x:numFmt numFmtId="168" formatCode="d/m/yyyy"/>
  </x:numFmts>
  <x:fonts count="14">
    <x:font>
      <x:sz val="10"/>
      <x:color rgb="FF000000"/>
      <x:name val="Arial"/>
    </x:font>
    <x:font>
      <x:color theme="1"/>
      <x:name val="Arial"/>
    </x:font>
    <x:font>
      <x:sz val="11"/>
      <x:color theme="1"/>
      <x:name val="Carlito"/>
    </x:font>
    <x:font>
      <x:b/>
      <x:color theme="1"/>
      <x:name val="Arial"/>
    </x:font>
    <x:font>
      <x:sz val="11"/>
      <x:color theme="1"/>
      <x:name val="Calibri"/>
    </x:font>
    <x:font>
      <x:sz val="11"/>
      <x:color rgb="FF000000"/>
      <x:name val="Arial"/>
    </x:font>
    <x:font>
      <x:color theme="1"/>
      <x:name val="Arial"/>
    </x:font>
    <x:font>
      <x:color rgb="FF0000FF"/>
    </x:font>
    <x:font>
      <x:color rgb="FF0000FF"/>
    </x:font>
    <x:font>
      <x:color rgb="FF1155CC"/>
      <x:name val="Arial"/>
    </x:font>
    <x:font>
      <x:sz val="11"/>
      <x:color rgb="FF222222"/>
      <x:name val="Ft-icon"/>
    </x:font>
    <x:font>
      <x:b/>
      <x:sz val="10"/>
      <x:color rgb="FFFFFFFF"/>
      <x:name val="Arial"/>
    </x:font>
    <x:font>
      <x:b/>
      <x:sz val="16"/>
      <x:color rgb="FFFFFFFF"/>
      <x:name val="Arial"/>
    </x:font>
    <x:font>
      <x:i/>
      <x:sz val="10"/>
      <x:color rgb="FF285F5B"/>
      <x:name val="Arial"/>
    </x:font>
  </x:fonts>
  <x:fills count="8">
    <x:fill>
      <x:patternFill patternType="none"/>
    </x:fill>
    <x:fill>
      <x:patternFill patternType="lightGray"/>
    </x:fill>
    <x:fill>
      <x:patternFill patternType="solid">
        <x:fgColor rgb="FFC1E4F5"/>
      </x:patternFill>
    </x:fill>
    <x:fill>
      <x:patternFill patternType="solid">
        <x:fgColor rgb="FFFFFFFF"/>
      </x:patternFill>
    </x:fill>
    <x:fill>
      <x:patternFill patternType="solid">
        <x:fgColor rgb="FFCCCCCC"/>
      </x:patternFill>
    </x:fill>
    <x:fill>
      <x:patternFill patternType="solid">
        <x:fgColor rgb="FF285F5B"/>
      </x:patternFill>
    </x:fill>
    <x:fill>
      <x:patternFill patternType="solid">
        <x:fgColor rgb="FF407471"/>
      </x:patternFill>
    </x:fill>
    <x:fill>
      <x:patternFill patternType="solid">
        <x:fgColor rgb="FFE8F2F1"/>
      </x:patternFill>
    </x:fill>
  </x:fills>
  <x:borders count="1">
    <x:border/>
  </x:borders>
  <x:cellStyleXfs count="1">
    <x:xf numFmtId="0" fontId="0" fillId="0" borderId="0" applyFont="1" applyAlignment="1"/>
  </x:cellStyleXfs>
  <x:cellXfs count="73">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vertical="top" wrapText="1"/>
    </x:xf>
    <x:xf numFmtId="0" fontId="2" fillId="2" borderId="0" xfId="0" applyFont="1" applyAlignment="1">
      <x:alignment vertical="top" wrapText="1"/>
    </x:xf>
    <x:xf numFmtId="0" fontId="2" fillId="3" borderId="0" xfId="0" applyFont="1" applyFill="1" applyAlignment="1">
      <x:alignment vertical="top" wrapText="1"/>
    </x:xf>
    <x:xf numFmtId="0" fontId="3" fillId="0" borderId="0" xfId="0" applyFont="1" applyAlignment="1">
      <x:alignment horizontal="center"/>
    </x:xf>
    <x:xf numFmtId="164" fontId="1" fillId="0" borderId="0" xfId="0" applyNumberFormat="1" applyFont="1" applyAlignment="1"/>
    <x:xf numFmtId="0" fontId="1" fillId="0" borderId="0" xfId="0" applyFont="1"/>
    <x:xf numFmtId="0" fontId="4" fillId="0" borderId="0" xfId="0" applyFont="1" applyAlignment="1">
      <x:alignment vertical="top" wrapText="1"/>
    </x:xf>
    <x:xf numFmtId="0" fontId="4" fillId="0" borderId="0" xfId="0" applyFont="1" applyAlignment="1">
      <x:alignment vertical="top"/>
    </x:xf>
    <x:xf numFmtId="0" fontId="2" fillId="2" borderId="0" xfId="0" applyFont="1" applyAlignment="1">
      <x:alignment vertical="top" wrapText="1"/>
    </x:xf>
    <x:xf numFmtId="0" fontId="2" fillId="2" borderId="0" xfId="0" applyFont="1" applyAlignment="1">
      <x:alignment vertical="top"/>
    </x:xf>
    <x:xf numFmtId="0" fontId="2" fillId="3" borderId="0" xfId="0" applyFont="1" applyAlignment="1">
      <x:alignment vertical="top"/>
    </x:xf>
    <x:xf numFmtId="0" fontId="1" fillId="0" borderId="0" xfId="0" applyFont="1" applyAlignment="1"/>
    <x:xf numFmtId="0" fontId="1" fillId="0" borderId="0" xfId="0" applyFont="1" applyAlignment="1"/>
    <x:xf numFmtId="0" fontId="1" fillId="0" borderId="0" xfId="0" applyFont="1"/>
    <x:xf numFmtId="0" fontId="4" fillId="0" borderId="0" xfId="0" applyFont="1" applyAlignment="1">
      <x:alignment vertical="top" wrapText="1"/>
    </x:xf>
    <x:xf numFmtId="0" fontId="2" fillId="3" borderId="0" xfId="0" applyFont="1" applyAlignment="1">
      <x:alignment vertical="top" wrapText="1"/>
    </x:xf>
    <x:xf numFmtId="0" fontId="4" fillId="0" borderId="0" xfId="0" applyFont="1" applyAlignment="1">
      <x:alignment horizontal="right" vertical="top" wrapText="1"/>
    </x:xf>
    <x:xf numFmtId="0" fontId="2" fillId="2" borderId="0" xfId="0" applyFont="1" applyAlignment="1">
      <x:alignment horizontal="right" vertical="top" wrapText="1"/>
    </x:xf>
    <x:xf numFmtId="0" fontId="2" fillId="3" borderId="0" xfId="0" applyFont="1" applyAlignment="1">
      <x:alignment horizontal="right" vertical="top" wrapText="1"/>
    </x:xf>
    <x:xf numFmtId="0" fontId="4" fillId="0" borderId="0" xfId="0" applyFont="1" applyAlignment="1">
      <x:alignment vertical="top" wrapText="1"/>
    </x:xf>
    <x:xf numFmtId="165" fontId="1" fillId="0" borderId="0" xfId="0" applyNumberFormat="1" applyFont="1" applyAlignment="1"/>
    <x:xf numFmtId="0" fontId="5" fillId="0" borderId="0" xfId="0" applyFont="1" applyAlignment="1"/>
    <x:xf numFmtId="0" fontId="6" fillId="0" borderId="0" xfId="0" applyFont="1" applyAlignment="1">
      <x:alignment vertical="bottom"/>
    </x:xf>
    <x:xf numFmtId="0" fontId="6" fillId="0" borderId="0" xfId="0" applyFont="1" applyAlignment="1">
      <x:alignment vertical="bottom"/>
    </x:xf>
    <x:xf numFmtId="0" fontId="6" fillId="0" borderId="0" xfId="0" applyFont="1" applyAlignment="1">
      <x:alignment horizontal="right" vertical="bottom"/>
    </x:xf>
    <x:xf numFmtId="164" fontId="6" fillId="0" borderId="0" xfId="0" applyNumberFormat="1" applyFont="1" applyAlignment="1">
      <x:alignment horizontal="right" vertical="bottom"/>
    </x:xf>
    <x:xf numFmtId="0" fontId="6" fillId="0" borderId="0" xfId="0" applyFont="1" applyAlignment="1">
      <x:alignment vertical="top"/>
    </x:xf>
    <x:xf numFmtId="0" fontId="6" fillId="2" borderId="0" xfId="0" applyFont="1" applyAlignment="1">
      <x:alignment vertical="bottom"/>
    </x:xf>
    <x:xf numFmtId="0" fontId="6" fillId="2" borderId="0" xfId="0" applyFont="1" applyAlignment="1">
      <x:alignment horizontal="right" vertical="bottom"/>
    </x:xf>
    <x:xf numFmtId="0" fontId="6" fillId="2" borderId="0" xfId="0" applyFont="1" applyAlignment="1">
      <x:alignment vertical="top"/>
    </x:xf>
    <x:xf numFmtId="0" fontId="6" fillId="3" borderId="0" xfId="0" applyFont="1" applyAlignment="1">
      <x:alignment vertical="bottom"/>
    </x:xf>
    <x:xf numFmtId="0" fontId="6" fillId="3" borderId="0" xfId="0" applyFont="1" applyAlignment="1">
      <x:alignment horizontal="right" vertical="bottom"/>
    </x:xf>
    <x:xf numFmtId="0" fontId="6" fillId="3" borderId="0" xfId="0" applyFont="1" applyAlignment="1">
      <x:alignment vertical="top"/>
    </x:xf>
    <x:xf numFmtId="166" fontId="1" fillId="0" borderId="0" xfId="0" applyNumberFormat="1" applyFont="1" applyAlignment="1"/>
    <x:xf numFmtId="167" fontId="1" fillId="0" borderId="0" xfId="0" applyNumberFormat="1" applyFont="1" applyAlignment="1"/>
    <x:xf numFmtId="0" fontId="1" fillId="0" borderId="0" xfId="0" applyFont="1" applyAlignment="1">
      <x:alignment wrapText="1"/>
    </x:xf>
    <x:xf numFmtId="0" fontId="1" fillId="4" borderId="0" xfId="0" applyFont="1" applyFill="1" applyAlignment="1"/>
    <x:xf numFmtId="0" fontId="1" fillId="4" borderId="0" xfId="0" applyFont="1"/>
    <x:xf numFmtId="0" fontId="6" fillId="0" borderId="0" xfId="0" applyFont="1" applyAlignment="1">
      <x:alignment horizontal="right" vertical="bottom" wrapText="1"/>
    </x:xf>
    <x:xf numFmtId="0" fontId="6" fillId="0" borderId="0" xfId="0" applyFont="1" applyAlignment="1">
      <x:alignment horizontal="right" vertical="bottom" wrapText="1"/>
    </x:xf>
    <x:xf numFmtId="0" fontId="3" fillId="0" borderId="0" xfId="0" applyFont="1" applyAlignment="1">
      <x:alignment horizontal="right"/>
    </x:xf>
    <x:xf numFmtId="0" fontId="1" fillId="0" borderId="0" xfId="0" applyFont="1" applyAlignment="1">
      <x:alignment horizontal="right"/>
    </x:xf>
    <x:xf numFmtId="0" fontId="6" fillId="0" borderId="0" xfId="0" applyFont="1" applyAlignment="1">
      <x:alignment vertical="bottom" wrapText="1"/>
    </x:xf>
    <x:xf numFmtId="0" fontId="6" fillId="0" borderId="0" xfId="0" applyFont="1" applyAlignment="1">
      <x:alignment vertical="bottom" wrapText="1"/>
    </x:xf>
    <x:xf numFmtId="0" fontId="7" fillId="0" borderId="0" xfId="0" applyFont="1" applyAlignment="1"/>
    <x:xf numFmtId="0" fontId="8" fillId="0" borderId="0" xfId="0" applyFont="1" applyAlignment="1"/>
    <x:xf numFmtId="0" fontId="9" fillId="0" borderId="0" xfId="0" applyFont="1" applyAlignment="1">
      <x:alignment vertical="bottom" wrapText="1"/>
    </x:xf>
    <x:xf numFmtId="0" fontId="10" fillId="3" borderId="0" xfId="0" applyFont="1" applyAlignment="1">
      <x:alignment vertical="bottom" wrapText="1"/>
    </x:xf>
    <x:xf numFmtId="9" fontId="1" fillId="0" borderId="0" xfId="0" applyNumberFormat="1" applyFont="1" applyAlignment="1"/>
    <x:xf numFmtId="168" fontId="1" fillId="0" borderId="0" xfId="0" applyNumberFormat="1" applyFont="1" applyAlignment="1"/>
    <x:xf numFmtId="0" fontId="0"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1"/>
    </x:xf>
    <x:xf numFmtId="0" fontId="11"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11" fillId="5" borderId="0" xfId="0" applyNumberFormat="1" applyFont="1" applyFill="1" applyBorder="1" applyAlignment="1">
      <x:alignment vertical="top" wrapText="0"/>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1" fillId="6" borderId="0" xfId="0" applyNumberFormat="1" applyFont="1" applyFill="1" applyBorder="1" applyAlignment="1">
      <x:alignment vertical="top" wrapText="0"/>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5"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cellXfs>
  <x:cellStyles count="1">
    <x:cellStyle name="Normal" xfId="0"/>
  </x:cellStyles>
  <x:dxfs count="6">
    <x:dxf>
      <x:fill>
        <x:patternFill patternType="none"/>
      </x:fill>
      <x:border/>
    </x:dxf>
    <x:dxf>
      <x:fill>
        <x:patternFill>
          <x:bgColor rgb="FFC1E4F5"/>
        </x:patternFill>
      </x:fill>
      <x:border/>
    </x:dxf>
    <x:dxf>
      <x:fill>
        <x:patternFill>
          <x:bgColor theme="0"/>
        </x:patternFill>
      </x:fill>
      <x:border/>
    </x:dxf>
    <x:dxf>
      <x:font>
        <x:color rgb="FF9C0006"/>
      </x:font>
      <x:fill>
        <x:patternFill patternType="solid">
          <x:bgColor rgb="FFFDE9D9"/>
        </x:patternFill>
      </x:fill>
    </x:dxf>
    <x:dxf>
      <x:font>
        <x:color rgb="FF9C0006"/>
      </x:font>
      <x:fill>
        <x:patternFill patternType="solid">
          <x:bgColor rgb="FFFDE9D9"/>
        </x:patternFill>
      </x:fill>
    </x:dxf>
    <x:dxf>
      <x:font>
        <x:color rgb="FF9C0006"/>
      </x:font>
      <x:fill>
        <x:patternFill patternType="solid">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85e300fc5f400c" /><Relationship Type="http://schemas.openxmlformats.org/officeDocument/2006/relationships/theme" Target="/xl/theme/theme1.xml" Id="Rdb9dc3b237814bba" /><Relationship Type="http://schemas.microsoft.com/office/2022/11/relationships/FeaturePropertyBag" Target="/xl/featurePropertyBag/featurePropertyBag.xml" Id="R92987f94ec63499e" /><Relationship Type="http://schemas.openxmlformats.org/officeDocument/2006/relationships/sharedStrings" Target="/xl/sharedStrings.xml" Id="R9a6eb2925bef4aa5" /><Relationship Type="http://schemas.openxmlformats.org/officeDocument/2006/relationships/worksheet" Target="/xl/worksheets/sheet1.xml" Id="Rc258b8fb8b4b4bf1" /><Relationship Type="http://schemas.openxmlformats.org/officeDocument/2006/relationships/worksheet" Target="/xl/worksheets/sheet2.xml" Id="R1b044dc024b94863" /><Relationship Type="http://schemas.openxmlformats.org/officeDocument/2006/relationships/worksheet" Target="/xl/worksheets/sheet3.xml" Id="R990558505fe2401d" /><Relationship Type="http://schemas.openxmlformats.org/officeDocument/2006/relationships/worksheet" Target="/xl/worksheets/sheet4.xml" Id="Rfab80c798b3240dd" /><Relationship Type="http://schemas.openxmlformats.org/officeDocument/2006/relationships/worksheet" Target="/xl/worksheets/sheet5.xml" Id="Rfbd871fc65124799" /><Relationship Type="http://schemas.openxmlformats.org/officeDocument/2006/relationships/worksheet" Target="/xl/worksheets/sheet6.xml" Id="R2fcff76912794a92" /><Relationship Type="http://schemas.openxmlformats.org/officeDocument/2006/relationships/worksheet" Target="/xl/worksheets/sheet7.xml" Id="R1ae847ac990e4cc0" /><Relationship Type="http://schemas.openxmlformats.org/officeDocument/2006/relationships/worksheet" Target="/xl/worksheets/sheet8.xml" Id="R4c37d77b92814430" /><Relationship Type="http://schemas.openxmlformats.org/officeDocument/2006/relationships/worksheet" Target="/xl/worksheets/sheet9.xml" Id="R383a292c35e4471a" /><Relationship Type="http://schemas.openxmlformats.org/officeDocument/2006/relationships/worksheet" Target="/xl/worksheets/sheet10.xml" Id="R72eea84f9c3f43e8" /><Relationship Type="http://schemas.openxmlformats.org/officeDocument/2006/relationships/worksheet" Target="/xl/worksheets/sheet11.xml" Id="R401ed477480549ca" /><Relationship Type="http://schemas.openxmlformats.org/officeDocument/2006/relationships/worksheet" Target="/xl/worksheets/sheet12.xml" Id="R7ab745907dba4bd9" /><Relationship Type="http://schemas.openxmlformats.org/officeDocument/2006/relationships/worksheet" Target="/xl/worksheets/sheet13.xml" Id="R4b97e1bfc7f24fa7" /><Relationship Type="http://schemas.openxmlformats.org/officeDocument/2006/relationships/worksheet" Target="/xl/worksheets/sheet14.xml" Id="R610293a7c43d41e2" /><Relationship Type="http://schemas.openxmlformats.org/officeDocument/2006/relationships/worksheet" Target="/xl/worksheets/sheet15.xml" Id="R7b108ef9f79a4283" /><Relationship Type="http://schemas.openxmlformats.org/officeDocument/2006/relationships/worksheet" Target="/xl/worksheets/sheet16.xml" Id="R1ffb117d876a439f" /><Relationship Type="http://schemas.openxmlformats.org/officeDocument/2006/relationships/worksheet" Target="/xl/worksheets/sheet17.xml" Id="Rc8c45f9a28d549cc" /><Relationship Type="http://schemas.openxmlformats.org/officeDocument/2006/relationships/worksheet" Target="/xl/worksheets/sheet18.xml" Id="R1b243f4f6b4e473f" /><Relationship Type="http://schemas.openxmlformats.org/officeDocument/2006/relationships/worksheet" Target="/xl/worksheets/sheet19.xml" Id="R004f17e877894e5d" /><Relationship Type="http://schemas.openxmlformats.org/officeDocument/2006/relationships/worksheet" Target="/xl/worksheets/sheet20.xml" Id="Rdfc01dff05ae45c8" /><Relationship Type="http://schemas.openxmlformats.org/officeDocument/2006/relationships/worksheet" Target="/xl/worksheets/sheet21.xml" Id="R23382349e5c44f73" /><Relationship Type="http://schemas.openxmlformats.org/officeDocument/2006/relationships/worksheet" Target="/xl/worksheets/sheet22.xml" Id="R2dd8636a80854cf5" /><Relationship Type="http://schemas.openxmlformats.org/officeDocument/2006/relationships/worksheet" Target="/xl/worksheets/sheet23.xml" Id="R9759762c62094372" /><Relationship Type="http://schemas.openxmlformats.org/officeDocument/2006/relationships/worksheet" Target="/xl/worksheets/sheet24.xml" Id="Rf59b13dcc677475e" /><Relationship Type="http://schemas.openxmlformats.org/officeDocument/2006/relationships/worksheet" Target="/xl/worksheets/sheet25.xml" Id="Ra31c76542f5441b8" /><Relationship Type="http://schemas.openxmlformats.org/officeDocument/2006/relationships/worksheet" Target="/xl/worksheets/sheet26.xml" Id="R2cf1378979a3400d" /><Relationship Type="http://schemas.openxmlformats.org/officeDocument/2006/relationships/worksheet" Target="/xl/worksheets/sheet27.xml" Id="Rcdc39355fa524f2f" /><Relationship Type="http://schemas.openxmlformats.org/officeDocument/2006/relationships/worksheet" Target="/xl/worksheets/sheet28.xml" Id="Re41d9a9841cb4fb7" /><Relationship Type="http://schemas.openxmlformats.org/officeDocument/2006/relationships/worksheet" Target="/xl/worksheets/sheet29.xml" Id="R4c08d44d088b4155" /><Relationship Type="http://schemas.openxmlformats.org/officeDocument/2006/relationships/worksheet" Target="/xl/worksheets/sheet30.xml" Id="Rc78e603e68e6453f" /><Relationship Type="http://schemas.openxmlformats.org/officeDocument/2006/relationships/worksheet" Target="/xl/worksheets/sheet31.xml" Id="R078f8bc9fd66401a" /><Relationship Type="http://schemas.openxmlformats.org/officeDocument/2006/relationships/worksheet" Target="/xl/worksheets/sheet32.xml" Id="Reada4b88365f45d5" /><Relationship Type="http://schemas.openxmlformats.org/officeDocument/2006/relationships/worksheet" Target="/xl/worksheets/sheet33.xml" Id="R390ef60ece9c470b" /><Relationship Type="http://schemas.openxmlformats.org/officeDocument/2006/relationships/worksheet" Target="/xl/worksheets/sheet34.xml" Id="R8a16d9a2dfb1454d" /><Relationship Type="http://schemas.openxmlformats.org/officeDocument/2006/relationships/worksheet" Target="/xl/worksheets/sheet35.xml" Id="Rca980e1ee3c0483f" /><Relationship Type="http://schemas.openxmlformats.org/officeDocument/2006/relationships/worksheet" Target="/xl/worksheets/sheet36.xml" Id="Raf3f1b67750645fe" /><Relationship Type="http://schemas.openxmlformats.org/officeDocument/2006/relationships/worksheet" Target="/xl/worksheets/sheet37.xml" Id="R60398a7a77914dc4" /><Relationship Type="http://schemas.openxmlformats.org/officeDocument/2006/relationships/worksheet" Target="/xl/worksheets/sheet38.xml" Id="R82bca8352f8d481a" /><Relationship Type="http://schemas.openxmlformats.org/officeDocument/2006/relationships/worksheet" Target="/xl/worksheets/sheet39.xml" Id="R87158eaa824a448e" /><Relationship Type="http://schemas.openxmlformats.org/officeDocument/2006/relationships/worksheet" Target="/xl/worksheets/sheet40.xml" Id="R0e055579a99d410b" /><Relationship Type="http://schemas.openxmlformats.org/officeDocument/2006/relationships/worksheet" Target="/xl/worksheets/sheet41.xml" Id="R5ddf85a2771a401e" /><Relationship Type="http://schemas.openxmlformats.org/officeDocument/2006/relationships/worksheet" Target="/xl/worksheets/sheet42.xml" Id="Rd9d91808899b4c85" /><Relationship Type="http://schemas.openxmlformats.org/officeDocument/2006/relationships/worksheet" Target="/xl/worksheets/sheet43.xml" Id="R413f288ddebf457d" /><Relationship Type="http://schemas.openxmlformats.org/officeDocument/2006/relationships/worksheet" Target="/xl/worksheets/sheet44.xml" Id="Ra45054062bb74919" /><Relationship Type="http://schemas.openxmlformats.org/officeDocument/2006/relationships/worksheet" Target="/xl/worksheets/sheet45.xml" Id="Rc14d2440c1b842f9" /><Relationship Type="http://schemas.openxmlformats.org/officeDocument/2006/relationships/worksheet" Target="/xl/worksheets/sheet46.xml" Id="R11dbe294594e472f" /><Relationship Type="http://schemas.openxmlformats.org/officeDocument/2006/relationships/worksheet" Target="/xl/worksheets/sheet47.xml" Id="Rbe1f9750b8334ca9" /><Relationship Type="http://schemas.openxmlformats.org/officeDocument/2006/relationships/worksheet" Target="/xl/worksheets/sheet48.xml" Id="R90ae3dccff7d4568" /><Relationship Type="http://schemas.openxmlformats.org/officeDocument/2006/relationships/worksheet" Target="/xl/worksheets/sheet49.xml" Id="R782712e0e96947dc" /><Relationship Type="http://schemas.openxmlformats.org/officeDocument/2006/relationships/worksheet" Target="/xl/worksheets/sheet50.xml" Id="R4b6d4a18e1694a1b" /><Relationship Type="http://schemas.openxmlformats.org/officeDocument/2006/relationships/worksheet" Target="/xl/worksheets/sheet51.xml" Id="Rf46419070cd74d5f" /><Relationship Type="http://schemas.openxmlformats.org/officeDocument/2006/relationships/worksheet" Target="/xl/worksheets/sheet52.xml" Id="Rcaaf7f94ec4a43d3" /><Relationship Type="http://schemas.openxmlformats.org/officeDocument/2006/relationships/worksheet" Target="/xl/worksheets/sheet53.xml" Id="R3bb1f9b3e2e54d4d" /><Relationship Type="http://schemas.openxmlformats.org/officeDocument/2006/relationships/worksheet" Target="/xl/worksheets/sheet54.xml" Id="Rd7d2f2bb3d0e4d9c" /><Relationship Type="http://schemas.openxmlformats.org/officeDocument/2006/relationships/worksheet" Target="/xl/worksheets/sheet55.xml" Id="Re63289df11924634" /><Relationship Type="http://schemas.openxmlformats.org/officeDocument/2006/relationships/worksheet" Target="/xl/worksheets/sheet56.xml" Id="R187480dca658403d" /><Relationship Type="http://schemas.openxmlformats.org/officeDocument/2006/relationships/worksheet" Target="/xl/worksheets/sheet57.xml" Id="Rfad864b4ca064a9d" /><Relationship Type="http://schemas.openxmlformats.org/officeDocument/2006/relationships/worksheet" Target="/xl/worksheets/sheet58.xml" Id="Ra32e4a7322e14d42" /><Relationship Type="http://schemas.openxmlformats.org/officeDocument/2006/relationships/worksheet" Target="/xl/worksheets/sheet59.xml" Id="R9992ce344cf24402" /><Relationship Type="http://schemas.openxmlformats.org/officeDocument/2006/relationships/worksheet" Target="/xl/worksheets/sheet60.xml" Id="Rdd2365b844eb4710" /><Relationship Type="http://schemas.openxmlformats.org/officeDocument/2006/relationships/worksheet" Target="/xl/worksheets/sheet61.xml" Id="Refb23898541b4d49" /><Relationship Type="http://schemas.openxmlformats.org/officeDocument/2006/relationships/worksheet" Target="/xl/worksheets/sheet62.xml" Id="R4d91cd0a69c24347" /><Relationship Type="http://schemas.openxmlformats.org/officeDocument/2006/relationships/worksheet" Target="/xl/worksheets/sheet63.xml" Id="R2f386e722a514c25" /><Relationship Type="http://schemas.openxmlformats.org/officeDocument/2006/relationships/worksheet" Target="/xl/worksheets/sheet64.xml" Id="R79dce92bb7b84d09" /><Relationship Type="http://schemas.openxmlformats.org/officeDocument/2006/relationships/worksheet" Target="/xl/worksheets/sheet65.xml" Id="Rca14dd02f0934bdc" /><Relationship Type="http://schemas.openxmlformats.org/officeDocument/2006/relationships/worksheet" Target="/xl/worksheets/sheet66.xml" Id="R70d768bd57d44fea" /><Relationship Type="http://schemas.openxmlformats.org/officeDocument/2006/relationships/worksheet" Target="/xl/worksheets/sheet67.xml" Id="R50963f3986864c2a" /><Relationship Type="http://schemas.openxmlformats.org/officeDocument/2006/relationships/worksheet" Target="/xl/worksheets/sheet68.xml" Id="R0f0508d467284b71" /><Relationship Type="http://schemas.openxmlformats.org/officeDocument/2006/relationships/worksheet" Target="/xl/worksheets/sheet69.xml" Id="Rcf163c40a5e04dec" /><Relationship Type="http://schemas.openxmlformats.org/officeDocument/2006/relationships/worksheet" Target="/xl/worksheets/sheet70.xml" Id="R0ab1f7503c4944b8" /><Relationship Type="http://schemas.openxmlformats.org/officeDocument/2006/relationships/worksheet" Target="/xl/worksheets/sheet71.xml" Id="Rf80030ad55eb49dd" /><Relationship Type="http://schemas.openxmlformats.org/officeDocument/2006/relationships/worksheet" Target="/xl/worksheets/sheet72.xml" Id="Rfdf48be2114d40a0" /><Relationship Type="http://schemas.openxmlformats.org/officeDocument/2006/relationships/worksheet" Target="/xl/worksheets/sheet73.xml" Id="Ra653af360fd64cba" /><Relationship Type="http://schemas.openxmlformats.org/officeDocument/2006/relationships/worksheet" Target="/xl/worksheets/sheet74.xml" Id="R98a47b37865d418c" /><Relationship Type="http://schemas.openxmlformats.org/officeDocument/2006/relationships/worksheet" Target="/xl/worksheets/sheet75.xml" Id="Rae9d0b4fb19d4a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4" name="CategoryTable" displayName="CategoryTable" ref="A1:D13" headerRowCount="1" totalsRowCount="0" totalsRowShown="0">
  <x:autoFilter ref="A1:D13"/>
  <x:tableColumns count="4">
    <x:tableColumn id="1" name="CategoryID"/>
    <x:tableColumn id="2" name="Category"/>
    <x:tableColumn id="3" name="Notes"/>
    <x:tableColumn id="4" name="Status"/>
  </x:tableColumns>
  <x:tableStyleInfo name="TableStyleMedium2" showFirstColumn="0" showLastColumn="0" showRowStripes="1" showColumnStripes="0"/>
</x:table>
</file>

<file path=xl/tables/table2.xml><?xml version="1.0" encoding="utf-8"?>
<x:table xmlns:x="http://schemas.openxmlformats.org/spreadsheetml/2006/main" id="15" name="TagsTable" displayName="TagsTable" ref="A1:G32" headerRowCount="1" totalsRowCount="0" totalsRowShown="0">
  <x:autoFilter ref="A1:G32"/>
  <x:tableColumns count="7">
    <x:tableColumn id="1" name="TagID"/>
    <x:tableColumn id="2" name="TagName"/>
    <x:tableColumn id="3" name="CategoryID"/>
    <x:tableColumn id="4" name="Abbreviation"/>
    <x:tableColumn id="5" name="Synonyms"/>
    <x:tableColumn id="6" name="Description"/>
    <x:tableColumn id="7" name="Status"/>
  </x:tableColumns>
  <x:tableStyleInfo name="TableStyleMedium2" showFirstColumn="0" showLastColumn="0" showRowStripes="1" showColumnStripes="0"/>
</x:table>
</file>

<file path=xl/tables/table3.xml><?xml version="1.0" encoding="utf-8"?>
<x:table xmlns:x="http://schemas.openxmlformats.org/spreadsheetml/2006/main" id="2" name="Table_2" displayName="Table_2" ref="A32:D48" headerRowCount="0">
  <x:tableColumns count="4">
    <x:tableColumn id="1" name="Column1"/>
    <x:tableColumn id="2" name="Column2"/>
    <x:tableColumn id="3" name="Column3"/>
    <x:tableColumn id="4" name="Column4"/>
  </x:tableColumns>
  <x:tableStyleInfo name="Anatomy Terms-style" showFirstColumn="1" showLastColumn="1" showRowStripes="1" showColumnStripes="0"/>
</x:table>
</file>

<file path=xl/tables/table4.xml><?xml version="1.0" encoding="utf-8"?>
<x:table xmlns:x="http://schemas.openxmlformats.org/spreadsheetml/2006/main" id="18" name="BlueprintsV5Table" displayName="BlueprintsV5Table" ref="A1:Z105" headerRowCount="1" totalsRowCount="0" totalsRowShown="0">
  <x:autoFilter ref="A1:Z105"/>
  <x:tableColumns count="26">
    <x:tableColumn id="1" name="BlueprintID"/>
    <x:tableColumn id="2" name="BlueprintName"/>
    <x:tableColumn id="3" name="BlueprintTemplateID"/>
    <x:tableColumn id="4" name="SOAPAbbreviation"/>
    <x:tableColumn id="5" name="CategoryID"/>
    <x:tableColumn id="6" name="Role"/>
    <x:tableColumn id="7" name="BlueprintTypeID"/>
    <x:tableColumn id="8" name="Expected Unit"/>
    <x:tableColumn id="9" name="Purpose"/>
    <x:tableColumn id="10" name="Indications"/>
    <x:tableColumn id="11" name="Contraindications"/>
    <x:tableColumn id="12" name="MethodID"/>
    <x:tableColumn id="13" name="EquipmentIDs"/>
    <x:tableColumn id="14" name="Phase"/>
    <x:tableColumn id="15" name="FlagID"/>
    <x:tableColumn id="16" name="CreatedByUserID"/>
    <x:tableColumn id="17" name="OwnerType"/>
    <x:tableColumn id="18" name="OwnerID"/>
    <x:tableColumn id="19" name="Visibility"/>
    <x:tableColumn id="20" name="ApprovalStatus"/>
    <x:tableColumn id="21" name="SourceBlueprintID"/>
    <x:tableColumn id="22" name="IsTemplateGenerated"/>
    <x:tableColumn id="23" name="References"/>
    <x:tableColumn id="24" name="ReferenceStatus"/>
    <x:tableColumn id="25" name="Notes"/>
    <x:tableColumn id="26" name="Validation Status"/>
  </x:tableColumns>
  <x:tableStyleInfo name="TableStyleMedium2" showFirstColumn="0" showLastColumn="0" showRowStripes="1" showColumnStripes="0"/>
</x:table>
</file>

<file path=xl/tables/table5.xml><?xml version="1.0" encoding="utf-8"?>
<x:table xmlns:x="http://schemas.openxmlformats.org/spreadsheetml/2006/main" id="4" name="Table_4" displayName="Table_4" ref="A31:A105" headerRowCount="0">
  <x:tableColumns count="1">
    <x:tableColumn id="1" name="Column1"/>
  </x:tableColumns>
  <x:tableStyleInfo name="Blueprint Clinical-style" showFirstColumn="1" showLastColumn="1" showRowStripes="1" showColumnStripes="0"/>
</x:table>
</file>

<file path=xl/tables/table6.xml><?xml version="1.0" encoding="utf-8"?>
<x:table xmlns:x="http://schemas.openxmlformats.org/spreadsheetml/2006/main" id="5" name="Table_5" displayName="Table_5" ref="B31:B105" headerRowCount="0">
  <x:tableColumns count="1">
    <x:tableColumn id="1" name="Column1"/>
  </x:tableColumns>
  <x:tableStyleInfo name="Blueprint Clinical-style 2" showFirstColumn="1" showLastColumn="1" showRowStripes="1" showColumnStripes="0"/>
</x:table>
</file>

<file path=xl/tables/table7.xml><?xml version="1.0" encoding="utf-8"?>
<x:table xmlns:x="http://schemas.openxmlformats.org/spreadsheetml/2006/main" id="21" name="BlueprintTagLinksV5Table" displayName="BlueprintTagLinksV5Table" ref="A1:D85" headerRowCount="1" totalsRowCount="0" totalsRowShown="0">
  <x:autoFilter ref="A1:D85"/>
  <x:tableColumns count="4">
    <x:tableColumn id="1" name="LinkID"/>
    <x:tableColumn id="2" name="BlueprintID"/>
    <x:tableColumn id="3" name="TagID"/>
    <x:tableColumn id="4" name="Validation Status"/>
  </x:tableColumns>
  <x:tableStyleInfo name="TableStyleMedium2" showFirstColumn="0" showLastColumn="0" showRowStripes="1" showColumnStripes="0"/>
</x:table>
</file>

<file path=xl/tables/table8.xml><?xml version="1.0" encoding="utf-8"?>
<x:table xmlns:x="http://schemas.openxmlformats.org/spreadsheetml/2006/main" id="24" name="BlueprintItemsV5Table" displayName="BlueprintItemsV5Table" ref="A1:O22" headerRowCount="1" totalsRowCount="0" totalsRowShown="0">
  <x:autoFilter ref="A1:O22"/>
  <x:tableColumns count="15">
    <x:tableColumn id="1" name="BlueprintItemID"/>
    <x:tableColumn id="2" name="BlueprintID"/>
    <x:tableColumn id="3" name="TemplateFieldID"/>
    <x:tableColumn id="4" name="FieldName"/>
    <x:tableColumn id="5" name="ItemID"/>
    <x:tableColumn id="6" name="ItemName"/>
    <x:tableColumn id="7" name="Item Type"/>
    <x:tableColumn id="8" name="ItemRole"/>
    <x:tableColumn id="9" name="MethodStepID"/>
    <x:tableColumn id="10" name="SortOrder"/>
    <x:tableColumn id="11" name="Required"/>
    <x:tableColumn id="12" name="DisplayInline"/>
    <x:tableColumn id="13" name="Quantity"/>
    <x:tableColumn id="14" name="Notes"/>
    <x:tableColumn id="15" name="Validation Status"/>
  </x:tableColumns>
  <x:tableStyleInfo name="TableStyleMedium2" showFirstColumn="0" showLastColumn="0" showRowStripes="1" showColumnStripes="0"/>
</x:table>
</file>

<file path=xl/tables/table9.xml><?xml version="1.0" encoding="utf-8"?>
<x:table xmlns:x="http://schemas.openxmlformats.org/spreadsheetml/2006/main" id="8" name="Table_8" displayName="Table_8" ref="A71:E269" headerRowCount="0">
  <x:tableColumns count="5">
    <x:tableColumn id="1" name="Column1"/>
    <x:tableColumn id="2" name="Column2"/>
    <x:tableColumn id="3" name="Column3"/>
    <x:tableColumn id="4" name="Column4"/>
    <x:tableColumn id="5" name="Column5"/>
  </x:tableColumns>
  <x:tableStyleInfo name="Blueprint Methods-style" showFirstColumn="1" showLastColumn="1" showRowStripes="1" showColumnStripes="0"/>
</x:table>
</file>

<file path=xl/tables/table10.xml><?xml version="1.0" encoding="utf-8"?>
<x:table xmlns:x="http://schemas.openxmlformats.org/spreadsheetml/2006/main" id="9" name="Table_9" displayName="Table_9" ref="A23:E215" headerRowCount="0">
  <x:tableColumns count="5">
    <x:tableColumn id="1" name="Column1"/>
    <x:tableColumn id="2" name="Column2"/>
    <x:tableColumn id="3" name="Column3"/>
    <x:tableColumn id="4" name="Column4"/>
    <x:tableColumn id="5" name="Column5"/>
  </x:tableColumns>
  <x:tableStyleInfo name="Blueprint Findings-style" showFirstColumn="1" showLastColumn="1" showRowStripes="1" showColumnStripes="0"/>
</x:table>
</file>

<file path=xl/tables/table11.xml><?xml version="1.0" encoding="utf-8"?>
<x:table xmlns:x="http://schemas.openxmlformats.org/spreadsheetml/2006/main" id="10" name="Table_10" displayName="Table_10" ref="A20:I35" headerRowCount="0">
  <x:tableColumns count="9">
    <x:tableColumn id="1" name="Column1"/>
    <x:tableColumn id="2" name="Column2"/>
    <x:tableColumn id="3" name="Column3"/>
    <x:tableColumn id="4" name="Column4"/>
    <x:tableColumn id="5" name="Column5"/>
    <x:tableColumn id="6" name="Column6"/>
    <x:tableColumn id="7" name="Column7"/>
    <x:tableColumn id="8" name="Column8"/>
    <x:tableColumn id="9" name="Column9"/>
  </x:tableColumns>
  <x:tableStyleInfo name="Blueprint Dosage-style" showFirstColumn="1" showLastColumn="1" showRowStripes="1" showColumnStripes="0"/>
</x:table>
</file>

<file path=xl/tables/table12.xml><?xml version="1.0" encoding="utf-8"?>
<x:table xmlns:x="http://schemas.openxmlformats.org/spreadsheetml/2006/main" id="11" name="Table_11" displayName="Table_11" ref="A2:G34" headerRowCount="0">
  <x:tableColumns count="7">
    <x:tableColumn id="1" name="Column1"/>
    <x:tableColumn id="2" name="Column2"/>
    <x:tableColumn id="3" name="Column3"/>
    <x:tableColumn id="4" name="Column4"/>
    <x:tableColumn id="5" name="Column5"/>
    <x:tableColumn id="6" name="Column6"/>
    <x:tableColumn id="7" name="Column7"/>
  </x:tableColumns>
  <x:tableStyleInfo name="Blueprint Neuro Details-style" showFirstColumn="1" showLastColumn="1" showRowStripes="1" showColumnStripes="0"/>
</x:table>
</file>

<file path=xl/tables/table13.xml><?xml version="1.0" encoding="utf-8"?>
<x:table xmlns:x="http://schemas.openxmlformats.org/spreadsheetml/2006/main" id="19" name="PlanV5Table" displayName="PlanV5Table" ref="A1:AC10" headerRowCount="1" totalsRowCount="0" totalsRowShown="0">
  <x:autoFilter ref="A1:AC10"/>
  <x:tableColumns count="29">
    <x:tableColumn id="1" name="PlanID"/>
    <x:tableColumn id="2" name="PlanName"/>
    <x:tableColumn id="3" name="PlanTemplateID"/>
    <x:tableColumn id="4" name="TemplateVariantID"/>
    <x:tableColumn id="5" name="Plan Type"/>
    <x:tableColumn id="6" name="PlanTypeID"/>
    <x:tableColumn id="7" name="ConditionID"/>
    <x:tableColumn id="8" name="Session Number"/>
    <x:tableColumn id="9" name="Session Timing"/>
    <x:tableColumn id="10" name="PhaseID"/>
    <x:tableColumn id="11" name="Goal"/>
    <x:tableColumn id="12" name="PathwayID"/>
    <x:tableColumn id="13" name="Creates Product"/>
    <x:tableColumn id="14" name="ItemID"/>
    <x:tableColumn id="15" name="Access Type"/>
    <x:tableColumn id="16" name="Publish Status"/>
    <x:tableColumn id="17" name="Audience"/>
    <x:tableColumn id="18" name="CreatedByUserID"/>
    <x:tableColumn id="19" name="OwnerType"/>
    <x:tableColumn id="20" name="OwnerID"/>
    <x:tableColumn id="21" name="OwnerInstructorProfileID"/>
    <x:tableColumn id="22" name="Visibility"/>
    <x:tableColumn id="23" name="ApprovalStatus"/>
    <x:tableColumn id="24" name="TemplateSource"/>
    <x:tableColumn id="25" name="SourcePlanID"/>
    <x:tableColumn id="26" name="IsTemplateGenerated"/>
    <x:tableColumn id="27" name="Template Type"/>
    <x:tableColumn id="28" name="OriginalPlanTemplateID"/>
    <x:tableColumn id="29" name="Validation Status"/>
  </x:tableColumns>
  <x:tableStyleInfo name="TableStyleMedium2" showFirstColumn="0" showLastColumn="0" showRowStripes="1" showColumnStripes="0"/>
</x:table>
</file>

<file path=xl/tables/table14.xml><?xml version="1.0" encoding="utf-8"?>
<x:table xmlns:x="http://schemas.openxmlformats.org/spreadsheetml/2006/main" id="23" name="PlanItemsV5Table" displayName="PlanItemsV5Table" ref="A1:Q52" headerRowCount="1" totalsRowCount="0" totalsRowShown="0">
  <x:autoFilter ref="A1:Q52"/>
  <x:tableColumns count="17">
    <x:tableColumn id="1" name="PlanItemID"/>
    <x:tableColumn id="2" name="PlanID"/>
    <x:tableColumn id="3" name="SlotID"/>
    <x:tableColumn id="4" name="SectionName"/>
    <x:tableColumn id="5" name="ComponentKind"/>
    <x:tableColumn id="6" name="BlueprintID"/>
    <x:tableColumn id="7" name="SlotOrder"/>
    <x:tableColumn id="8" name="IsRequiredSlot"/>
    <x:tableColumn id="9" name="Item Type"/>
    <x:tableColumn id="10" name="SOAP Section"/>
    <x:tableColumn id="11" name="Default Dosage"/>
    <x:tableColumn id="12" name="Default SOAP Line"/>
    <x:tableColumn id="13" name="Required"/>
    <x:tableColumn id="14" name="CustomInstructions"/>
    <x:tableColumn id="15" name="Notes"/>
    <x:tableColumn id="16" name="ItemID"/>
    <x:tableColumn id="17" name="Validation Status"/>
  </x:tableColumns>
  <x:tableStyleInfo name="TableStyleMedium2" showFirstColumn="0" showLastColumn="0" showRowStripes="1" showColumnStripes="0"/>
</x:table>
</file>

<file path=xl/tables/table15.xml><?xml version="1.0" encoding="utf-8"?>
<x:table xmlns:x="http://schemas.openxmlformats.org/spreadsheetml/2006/main" id="13" name="Table_13" displayName="Table_13" ref="A20:J35" headerRowCount="0">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name="Plan Dosage-style" showFirstColumn="1" showLastColumn="1" showRowStripes="1" showColumnStripes="0"/>
</x:table>
</file>

<file path=xl/tables/table16.xml><?xml version="1.0" encoding="utf-8"?>
<x:table xmlns:x="http://schemas.openxmlformats.org/spreadsheetml/2006/main" id="17" name="ItemsV5Table" displayName="ItemsV5Table" ref="A1:AA68" headerRowCount="1" totalsRowCount="0" totalsRowShown="0">
  <x:autoFilter ref="A1:AA68"/>
  <x:tableColumns count="27">
    <x:tableColumn id="1" name="ItemID"/>
    <x:tableColumn id="2" name="Item Name"/>
    <x:tableColumn id="3" name="FirebaseType"/>
    <x:tableColumn id="4" name="TypeID"/>
    <x:tableColumn id="5" name="ItemType"/>
    <x:tableColumn id="6" name="CategoryID"/>
    <x:tableColumn id="7" name="TagID"/>
    <x:tableColumn id="8" name="SoldByRecoveryTools"/>
    <x:tableColumn id="9" name="IsShopProduct"/>
    <x:tableColumn id="10" name="Supplier Type"/>
    <x:tableColumn id="11" name="Website Visible"/>
    <x:tableColumn id="12" name="Short Description"/>
    <x:tableColumn id="13" name="Long Description"/>
    <x:tableColumn id="14" name="Unlocks access"/>
    <x:tableColumn id="15" name="Access Type"/>
    <x:tableColumn id="16" name="Related PlanID"/>
    <x:tableColumn id="17" name="Related PlanCourseDetailID"/>
    <x:tableColumn id="18" name="Related WorkshopID"/>
    <x:tableColumn id="19" name="Access Code Eligible"/>
    <x:tableColumn id="20" name="inventoryTracked"/>
    <x:tableColumn id="21" name="StockStatus"/>
    <x:tableColumn id="22" name="createdAt"/>
    <x:tableColumn id="23" name="updatedAt"/>
    <x:tableColumn id="24" name="References"/>
    <x:tableColumn id="25" name="Reference Status"/>
    <x:tableColumn id="26" name="Notes"/>
    <x:tableColumn id="27" name="Validation Status"/>
  </x:tableColumns>
  <x:tableStyleInfo name="TableStyleMedium2" showFirstColumn="0" showLastColumn="0" showRowStripes="1" showColumnStripes="0"/>
</x:table>
</file>

<file path=xl/tables/table17.xml><?xml version="1.0" encoding="utf-8"?>
<x:table xmlns:x="http://schemas.openxmlformats.org/spreadsheetml/2006/main" id="16" name="EntityTypesTable" displayName="EntityTypesTable" ref="A1:O35" headerRowCount="1" totalsRowCount="0" totalsRowShown="0">
  <x:autoFilter ref="A1:O35"/>
  <x:tableColumns count="15">
    <x:tableColumn id="1" name="TypeID"/>
    <x:tableColumn id="2" name="EntityKind"/>
    <x:tableColumn id="3" name="TypeName"/>
    <x:tableColumn id="4" name="DefaultCategoryID"/>
    <x:tableColumn id="5" name="CanUseInBlueprints"/>
    <x:tableColumn id="6" name="CanUseInPlans"/>
    <x:tableColumn id="7" name="HasContent"/>
    <x:tableColumn id="8" name="HasAssets"/>
    <x:tableColumn id="9" name="IsShopProduct"/>
    <x:tableColumn id="10" name="TracksInventory"/>
    <x:tableColumn id="11" name="HasVariants"/>
    <x:tableColumn id="12" name="UnlocksAccess"/>
    <x:tableColumn id="13" name="IsPhysical"/>
    <x:tableColumn id="14" name="HasDosage"/>
    <x:tableColumn id="15" name="Status"/>
  </x:tableColumns>
  <x:tableStyleInfo name="TableStyleMedium2" showFirstColumn="0" showLastColumn="0" showRowStripes="1" showColumnStripes="0"/>
</x:table>
</file>

<file path=xl/tables/table18.xml><?xml version="1.0" encoding="utf-8"?>
<x:table xmlns:x="http://schemas.openxmlformats.org/spreadsheetml/2006/main" id="20" name="ItemTagLinksTable" displayName="ItemTagLinksTable" ref="A1:D66" headerRowCount="1" totalsRowCount="0" totalsRowShown="0">
  <x:autoFilter ref="A1:D66"/>
  <x:tableColumns count="4">
    <x:tableColumn id="1" name="LinkID"/>
    <x:tableColumn id="2" name="ItemID"/>
    <x:tableColumn id="3" name="TagID"/>
    <x:tableColumn id="4" name="Validation Status"/>
  </x:tableColumns>
  <x:tableStyleInfo name="TableStyleMedium2" showFirstColumn="0" showLastColumn="0" showRowStripes="1" showColumnStripes="0"/>
</x:table>
</file>

<file path=xl/tables/table19.xml><?xml version="1.0" encoding="utf-8"?>
<x:table xmlns:x="http://schemas.openxmlformats.org/spreadsheetml/2006/main" id="22" name="PlanTagLinksTable" displayName="PlanTagLinksTable" ref="A1:D1" headerRowCount="1" totalsRowCount="0" totalsRowShown="0">
  <x:autoFilter ref="A1:D1"/>
  <x:tableColumns count="4">
    <x:tableColumn id="1" name="LinkID"/>
    <x:tableColumn id="2" name="PlanID"/>
    <x:tableColumn id="3" name="TagID"/>
    <x:tableColumn id="4" name="Validation Status"/>
  </x:tableColumns>
  <x:tableStyleInfo name="TableStyleMedium2" showFirstColumn="0" showLastColumn="0" showRowStripes="1" showColumnStripes="0"/>
</x:table>
</file>

<file path=xl/tables/table20.xml><?xml version="1.0" encoding="utf-8"?>
<x:table xmlns:x="http://schemas.openxmlformats.org/spreadsheetml/2006/main" id="25" name="FirebaseMappingTable" displayName="FirebaseMappingTable" ref="A1:E18" headerRowCount="1" totalsRowCount="0" totalsRowShown="0">
  <x:autoFilter ref="A1:E18"/>
  <x:tableColumns count="5">
    <x:tableColumn id="1" name="Workbook Sheet"/>
    <x:tableColumn id="2" name="Firestore Target"/>
    <x:tableColumn id="3" name="Key"/>
    <x:tableColumn id="4" name="Transformation / Rule"/>
    <x:tableColumn id="5" name="Compatibility"/>
  </x:tableColumns>
  <x:tableStyleInfo name="TableStyleMedium4" showFirstColumn="0" showLastColumn="0" showRowStripes="1" showColumnStripes="0"/>
</x:table>
</file>

<file path=xl/tables/table21.xml><?xml version="1.0" encoding="utf-8"?>
<x:table xmlns:x="http://schemas.openxmlformats.org/spreadsheetml/2006/main" id="26" name="DataQualityIssuesTable" displayName="DataQualityIssuesTable" ref="A11:F80" headerRowCount="1" totalsRowCount="0" totalsRowShown="0">
  <x:tableColumns count="6">
    <x:tableColumn id="1" name="IssueID"/>
    <x:tableColumn id="2" name="Severity"/>
    <x:tableColumn id="3" name="Sheet"/>
    <x:tableColumn id="4" name="RecordID"/>
    <x:tableColumn id="5" name="Field"/>
    <x:tableColumn id="6" name="Message"/>
  </x:tableColumns>
  <x:tableStyleInfo name="TableStyleMedium4"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430902ce86c42b6" /></Relationships>
</file>

<file path=xl/worksheets/_rels/sheet4.xml.rels>&#65279;<?xml version="1.0" encoding="utf-8"?><Relationships xmlns="http://schemas.openxmlformats.org/package/2006/relationships"><Relationship Type="http://schemas.openxmlformats.org/officeDocument/2006/relationships/table" Target="/xl/tables/table2.xml" Id="R6ecc9a5a63fe44d5" /></Relationships>
</file>

<file path=xl/worksheets/_rels/sheet5.xml.rels>&#65279;<?xml version="1.0" encoding="utf-8"?><Relationships xmlns="http://schemas.openxmlformats.org/package/2006/relationships"><Relationship Type="http://schemas.openxmlformats.org/officeDocument/2006/relationships/table" Target="/xl/tables/table3.xml" Id="R546118e3f9014a1b" /></Relationships>
</file>

<file path=xl/worksheets/_rels/sheet19.xml.rels>&#65279;<?xml version="1.0" encoding="utf-8"?><Relationships xmlns="http://schemas.openxmlformats.org/package/2006/relationships"><Relationship Type="http://schemas.openxmlformats.org/officeDocument/2006/relationships/table" Target="/xl/tables/table4.xml" Id="Ra9d38b979eb24b0a" /></Relationships>
</file>

<file path=xl/worksheets/_rels/sheet20.xml.rels>&#65279;<?xml version="1.0" encoding="utf-8"?><Relationships xmlns="http://schemas.openxmlformats.org/package/2006/relationships"><Relationship Type="http://schemas.openxmlformats.org/officeDocument/2006/relationships/table" Target="/xl/tables/table5.xml" Id="Re3135c87bdab47b7" /><Relationship Type="http://schemas.openxmlformats.org/officeDocument/2006/relationships/table" Target="/xl/tables/table6.xml" Id="Ra4ed9c07db6c47a1" /></Relationships>
</file>

<file path=xl/worksheets/_rels/sheet21.xml.rels>&#65279;<?xml version="1.0" encoding="utf-8"?><Relationships xmlns="http://schemas.openxmlformats.org/package/2006/relationships"><Relationship Type="http://schemas.openxmlformats.org/officeDocument/2006/relationships/table" Target="/xl/tables/table7.xml" Id="R8e809f078391468e" /></Relationships>
</file>

<file path=xl/worksheets/_rels/sheet22.xml.rels>&#65279;<?xml version="1.0" encoding="utf-8"?><Relationships xmlns="http://schemas.openxmlformats.org/package/2006/relationships"><Relationship Type="http://schemas.openxmlformats.org/officeDocument/2006/relationships/table" Target="/xl/tables/table8.xml" Id="Re6609da9ff6d46da" /></Relationships>
</file>

<file path=xl/worksheets/_rels/sheet23.xml.rels>&#65279;<?xml version="1.0" encoding="utf-8"?><Relationships xmlns="http://schemas.openxmlformats.org/package/2006/relationships"><Relationship Type="http://schemas.openxmlformats.org/officeDocument/2006/relationships/table" Target="/xl/tables/table9.xml" Id="R26a39a5bb0f14094" /></Relationships>
</file>

<file path=xl/worksheets/_rels/sheet24.xml.rels>&#65279;<?xml version="1.0" encoding="utf-8"?><Relationships xmlns="http://schemas.openxmlformats.org/package/2006/relationships"><Relationship Type="http://schemas.openxmlformats.org/officeDocument/2006/relationships/table" Target="/xl/tables/table10.xml" Id="R3b28123f4e574d27" /></Relationships>
</file>

<file path=xl/worksheets/_rels/sheet25.xml.rels>&#65279;<?xml version="1.0" encoding="utf-8"?><Relationships xmlns="http://schemas.openxmlformats.org/package/2006/relationships"><Relationship Type="http://schemas.openxmlformats.org/officeDocument/2006/relationships/table" Target="/xl/tables/table11.xml" Id="R45495c5a0aa24c2f" /></Relationships>
</file>

<file path=xl/worksheets/_rels/sheet26.xml.rels>&#65279;<?xml version="1.0" encoding="utf-8"?><Relationships xmlns="http://schemas.openxmlformats.org/package/2006/relationships"><Relationship Type="http://schemas.openxmlformats.org/officeDocument/2006/relationships/table" Target="/xl/tables/table12.xml" Id="R7b86f47da9014d8c" /></Relationships>
</file>

<file path=xl/worksheets/_rels/sheet31.xml.rels>&#65279;<?xml version="1.0" encoding="utf-8"?><Relationships xmlns="http://schemas.openxmlformats.org/package/2006/relationships"><Relationship Type="http://schemas.openxmlformats.org/officeDocument/2006/relationships/table" Target="/xl/tables/table13.xml" Id="Rce6a934a184e430d" /></Relationships>
</file>

<file path=xl/worksheets/_rels/sheet32.xml.rels>&#65279;<?xml version="1.0" encoding="utf-8"?><Relationships xmlns="http://schemas.openxmlformats.org/package/2006/relationships"><Relationship Type="http://schemas.openxmlformats.org/officeDocument/2006/relationships/table" Target="/xl/tables/table14.xml" Id="Rc43344d97c1e4d1e" /></Relationships>
</file>

<file path=xl/worksheets/_rels/sheet34.xml.rels>&#65279;<?xml version="1.0" encoding="utf-8"?><Relationships xmlns="http://schemas.openxmlformats.org/package/2006/relationships"><Relationship Type="http://schemas.openxmlformats.org/officeDocument/2006/relationships/table" Target="/xl/tables/table15.xml" Id="Rfd83559f1f3b4907" /></Relationships>
</file>

<file path=xl/worksheets/_rels/sheet41.xml.rels>&#65279;<?xml version="1.0" encoding="utf-8"?><Relationships xmlns="http://schemas.openxmlformats.org/package/2006/relationships"><Relationship Type="http://schemas.openxmlformats.org/officeDocument/2006/relationships/table" Target="/xl/tables/table16.xml" Id="Rfe0b88e57ff54f28" /></Relationships>
</file>

<file path=xl/worksheets/_rels/sheet45.xml.rels>&#65279;<?xml version="1.0" encoding="utf-8"?><Relationships xmlns="http://schemas.openxmlformats.org/package/2006/relationships"><Relationship Type="http://schemas.openxmlformats.org/officeDocument/2006/relationships/hyperlink" Target="https://firebasestorage.googleapis.com/v0/b/recovery-tools.firebasestorage.app/o/assets%2FASSET-GLOSSARY-001%2FGlossary.pdf?alt=media&amp;token=d65ddaa7-0bc0-48f8-bd55-53f9a09adb06" TargetMode="External" Id="R450876fd08d740ff" /><Relationship Type="http://schemas.openxmlformats.org/officeDocument/2006/relationships/hyperlink" Target="https://firebasestorage.googleapis.com/v0/b/recovery-tools.firebasestorage.app/o/assets%2FASSET-COMMERCE-POLICY%2FRecovery Tools Commerce Policy.pdf.pdf?alt=media&amp;token=82e39d4e-2aa5-4dba-98cc-18b423deaa0e" TargetMode="External" Id="R869914236e734b1f" /><Relationship Type="http://schemas.openxmlformats.org/officeDocument/2006/relationships/hyperlink" Target="https://firebasestorage.googleapis.com/v0/b/recovery-tools.firebasestorage.app/o/assets%2FASSET-PARTNER-AGREEMENT%2FRecovery Tools Partner Agreement.pdf.pdf?alt=media&amp;token=f490f5b9-a5ee-4e07-9379-9cd72385efa2" TargetMode="External" Id="R011e9c9e45b74516" /><Relationship Type="http://schemas.openxmlformats.org/officeDocument/2006/relationships/hyperlink" Target="https://firebasestorage.googleapis.com/v0/b/recovery-tools.firebasestorage.app/o/assets%2FASSET-PRIVACY-POLICY%2FRecovery Tools Privacy Policy.pdf.pdf?alt=media&amp;token=8046ad67-f085-4250-838e-5a61830c186e" TargetMode="External" Id="R78f31f5d40d74177" /><Relationship Type="http://schemas.openxmlformats.org/officeDocument/2006/relationships/hyperlink" Target="https://firebasestorage.googleapis.com/v0/b/recovery-tools.firebasestorage.app/o/assets%2FASSET-TERMS-CONDITIONS%2FRecovery Tools Terms and Conditions.pdf.pdf?alt=media&amp;token=c1cbe867-f412-4812-9d32-cdb3987d5d30" TargetMode="External" Id="R3e9a1e5114204abc" /><Relationship Type="http://schemas.openxmlformats.org/officeDocument/2006/relationships/hyperlink" Target="https://firebasestorage.googleapis.com/v0/b/recovery-tools.firebasestorage.app/o/assets%2FASSET-EPSOM-SALT-001%2FEpsom Salts.jpg?alt=media&amp;token=a66caf54-f5a1-4348-b561-088efffd3f4f" TargetMode="External" Id="R198160cb072d4410" /><Relationship Type="http://schemas.openxmlformats.org/officeDocument/2006/relationships/hyperlink" Target="https://firebasestorage.googleapis.com/v0/b/recovery-tools.firebasestorage.app/o/assets%2FASSET-EPSOM-SALT-001%2FEpsom Salts thumbnail.jpg?alt=media&amp;token=b167e818-ab94-436a-9357-c443ac3e73b5" TargetMode="External" Id="R27fa5c76b3a3447b" /><Relationship Type="http://schemas.openxmlformats.org/officeDocument/2006/relationships/hyperlink" Target="https://firebasestorage.googleapis.com/v0/b/recovery-tools.firebasestorage.app/o/assets%2FASSET-MCT-BALM-01-001%2FMCT Balm.jpg?alt=media&amp;token=73b9b541-7ead-4ccd-ad0f-d383c4642f8e" TargetMode="External" Id="Rad0e2f23711a400f" /><Relationship Type="http://schemas.openxmlformats.org/officeDocument/2006/relationships/hyperlink" Target="https://firebasestorage.googleapis.com/v0/b/recovery-tools.firebasestorage.app/o/assets%2FASSET-MCT-BALM-01-001%2FMCT Balm thumbnail.jpg?alt=media&amp;token=c63e0da4-cc8b-435a-a0f6-ce8510bfab92" TargetMode="External" Id="R0fa3c8d18d624715" /><Relationship Type="http://schemas.openxmlformats.org/officeDocument/2006/relationships/hyperlink" Target="https://firebasestorage.googleapis.com/v0/b/recovery-tools.firebasestorage.app/o/assets%2FASSET-CUPPING-SET-001%2FCupping Set.jpg?alt=media&amp;token=bf5a3f2b-cd87-4fbf-9efd-baf6f8c9fc38" TargetMode="External" Id="R2ea7254863924165" /><Relationship Type="http://schemas.openxmlformats.org/officeDocument/2006/relationships/hyperlink" Target="https://firebasestorage.googleapis.com/v0/b/recovery-tools.firebasestorage.app/o/assets%2FASSET-CUPPING-SET-001%2FCupping Set thumbnail.jpg?alt=media&amp;token=9cfc7aeb-ed6c-4408-b81c-d9a92659279e" TargetMode="External" Id="Rc421c23322be4ecf" /><Relationship Type="http://schemas.openxmlformats.org/officeDocument/2006/relationships/hyperlink" Target="https://firebasestorage.googleapis.com/v0/b/recovery-tools.firebasestorage.app/o/assets%2FASSET-TRIGGER-BALL-6CM-001%2FTrigger Ball.jpg?alt=media&amp;token=8f53e349-1e7e-498e-a2c0-5b87816d899c" TargetMode="External" Id="R5483c314feae46c3" /><Relationship Type="http://schemas.openxmlformats.org/officeDocument/2006/relationships/hyperlink" Target="https://firebasestorage.googleapis.com/v0/b/recovery-tools.firebasestorage.app/o/assets%2FASSET-TRIGGER-BALL-6CM-001%2FTrigger Ball thumbnail.jpg?alt=media&amp;token=2a862985-3e23-4b8d-94b2-d9e2a93a986f" TargetMode="External" Id="R5944f0107625498c" /><Relationship Type="http://schemas.openxmlformats.org/officeDocument/2006/relationships/hyperlink" Target="https://firebasestorage.googleapis.com/v0/b/recovery-tools.firebasestorage.app/o/assets%2FASSET-HEAT-PATCHES-6PK-001%2FHeat Patch.jpg?alt=media&amp;token=4834b8e2-2ab2-45e8-aa34-8ec9a42915f5" TargetMode="External" Id="Rc1d96cc330024a4c" /><Relationship Type="http://schemas.openxmlformats.org/officeDocument/2006/relationships/hyperlink" Target="https://firebasestorage.googleapis.com/v0/b/recovery-tools.firebasestorage.app/o/assets%2FASSET-HEAT-PATCHES-6PK-001%2FHeat Patch thumbnail.jpg?alt=media&amp;token=9402b3db-071d-4a2e-b85f-4b31996275e5" TargetMode="External" Id="R6f654f475fba416a" /></Relationships>
</file>

<file path=xl/worksheets/_rels/sheet65.xml.rels>&#65279;<?xml version="1.0" encoding="utf-8"?><Relationships xmlns="http://schemas.openxmlformats.org/package/2006/relationships"><Relationship Type="http://schemas.openxmlformats.org/officeDocument/2006/relationships/hyperlink" Target="https://cuppinghealth.com/" TargetMode="External" Id="Re41c159be57a4131" /><Relationship Type="http://schemas.openxmlformats.org/officeDocument/2006/relationships/hyperlink" Target="http://printingblue.com.au/" TargetMode="External" Id="R0c10a7bd67224c82" /><Relationship Type="http://schemas.openxmlformats.org/officeDocument/2006/relationships/hyperlink" Target="https://hmingift.en.made-in-china.com/" TargetMode="External" Id="Re01551de989f469d" /><Relationship Type="http://schemas.openxmlformats.org/officeDocument/2006/relationships/hyperlink" Target="http://madeinchina.com/" TargetMode="External" Id="Rabeffdedf2a64c11" /></Relationships>
</file>

<file path=xl/worksheets/_rels/sheet70.xml.rels>&#65279;<?xml version="1.0" encoding="utf-8"?><Relationships xmlns="http://schemas.openxmlformats.org/package/2006/relationships"><Relationship Type="http://schemas.openxmlformats.org/officeDocument/2006/relationships/hyperlink" Target="http://nancyjayne.com/" TargetMode="External" Id="R5fdd041a6f894594" /></Relationships>
</file>

<file path=xl/worksheets/_rels/sheet71.xml.rels>&#65279;<?xml version="1.0" encoding="utf-8"?><Relationships xmlns="http://schemas.openxmlformats.org/package/2006/relationships"><Relationship Type="http://schemas.openxmlformats.org/officeDocument/2006/relationships/table" Target="/xl/tables/table17.xml" Id="R595341c1bba341e4" /></Relationships>
</file>

<file path=xl/worksheets/_rels/sheet72.xml.rels>&#65279;<?xml version="1.0" encoding="utf-8"?><Relationships xmlns="http://schemas.openxmlformats.org/package/2006/relationships"><Relationship Type="http://schemas.openxmlformats.org/officeDocument/2006/relationships/table" Target="/xl/tables/table18.xml" Id="R3e8ff30b076f4c95" /></Relationships>
</file>

<file path=xl/worksheets/_rels/sheet73.xml.rels>&#65279;<?xml version="1.0" encoding="utf-8"?><Relationships xmlns="http://schemas.openxmlformats.org/package/2006/relationships"><Relationship Type="http://schemas.openxmlformats.org/officeDocument/2006/relationships/table" Target="/xl/tables/table19.xml" Id="R462b3bafc82349e9" /></Relationships>
</file>

<file path=xl/worksheets/_rels/sheet74.xml.rels>&#65279;<?xml version="1.0" encoding="utf-8"?><Relationships xmlns="http://schemas.openxmlformats.org/package/2006/relationships"><Relationship Type="http://schemas.openxmlformats.org/officeDocument/2006/relationships/table" Target="/xl/tables/table20.xml" Id="Rdb0867cf7fa14f9f" /></Relationships>
</file>

<file path=xl/worksheets/_rels/sheet75.xml.rels>&#65279;<?xml version="1.0" encoding="utf-8"?><Relationships xmlns="http://schemas.openxmlformats.org/package/2006/relationships"><Relationship Type="http://schemas.openxmlformats.org/officeDocument/2006/relationships/table" Target="/xl/tables/table21.xml" Id="R9683962d78934db8" /></Relationships>
</file>

<file path=xl/worksheets/sheet1.xml><?xml version="1.0" encoding="utf-8"?>
<x:worksheet xmlns:x="http://schemas.openxmlformats.org/spreadsheetml/2006/main">
  <x:sheetFormatPr defaultColWidth="12.630000114440918" defaultRowHeight="15.75"/>
  <x:sheetData>
    <x:row r="1">
      <x:c r="A1" s="1" t="s">
        <x:v>0</x:v>
      </x:c>
    </x:row>
    <x:row r="2">
      <x:c r="A2" s="1" t="s">
        <x:v>1</x:v>
      </x:c>
    </x:row>
    <x:row r="3">
      <x:c r="A3" s="1" t="s">
        <x:v>2</x:v>
      </x:c>
    </x:row>
    <x:row r="4">
      <x:c r="A4" s="1" t="s">
        <x:v>3</x:v>
      </x:c>
    </x:row>
    <x:row r="5">
      <x:c r="A5" s="1" t="s">
        <x:v>4</x:v>
      </x:c>
    </x:row>
    <x:row r="6" ht="12.75" customHeight="1">
      <x:c r="A6" s="1"/>
    </x:row>
    <x:row r="7" ht="12.75" customHeight="1">
      <x:c r="A7" s="1" t="s">
        <x:v>5</x:v>
      </x:c>
    </x:row>
    <x:row r="8" ht="12.75" customHeight="1">
      <x:c r="A8" s="1" t="s">
        <x:v>6</x:v>
      </x:c>
    </x:row>
    <x:row r="9" ht="12.75" customHeight="1">
      <x:c r="A9" s="1"/>
    </x:row>
    <x:row r="10" ht="12.75" customHeight="1">
      <x:c r="A10" s="1" t="s">
        <x:v>7</x:v>
      </x:c>
    </x:row>
    <x:row r="12">
      <x:c r="A12" s="1" t="s">
        <x:v>8</x:v>
      </x:c>
    </x:row>
    <x:row r="14">
      <x:c r="A14" s="1" t="s">
        <x:v>9</x:v>
      </x:c>
    </x:row>
    <x:row r="16">
      <x:c r="A16" s="1" t="s">
        <x:v>10</x:v>
      </x:c>
    </x:row>
    <x:row r="17">
      <x:c r="A17" s="1" t="s">
        <x:v>11</x:v>
      </x:c>
    </x:row>
    <x:row r="18">
      <x:c r="A18" s="1" t="s">
        <x:v>12</x:v>
      </x:c>
    </x:row>
    <x:row r="19">
      <x:c r="A19" s="1" t="s">
        <x:v>13</x:v>
      </x:c>
    </x:row>
    <x:row r="20">
      <x:c r="A20" s="1" t="s">
        <x:v>14</x:v>
      </x:c>
    </x:row>
    <x:row r="21">
      <x:c r="A21" s="1" t="s">
        <x:v>15</x:v>
      </x:c>
    </x:row>
    <x:row r="22">
      <x:c r="A22" s="1" t="s">
        <x:v>16</x:v>
      </x:c>
    </x:row>
    <x:row r="24">
      <x:c r="A24" s="1" t="s">
        <x:v>17</x:v>
      </x:c>
    </x:row>
    <x:row r="26">
      <x:c r="A26" s="1" t="s">
        <x:v>18</x:v>
      </x:c>
    </x:row>
    <x:row r="28">
      <x:c r="A28" s="1" t="s">
        <x:v>19</x:v>
      </x:c>
    </x:row>
    <x:row r="30">
      <x:c r="A30" s="1" t="s">
        <x:v>20</x:v>
      </x:c>
    </x:row>
    <x:row r="32">
      <x:c r="A32" s="1" t="s">
        <x:v>21</x:v>
      </x:c>
    </x:row>
    <x:row r="34">
      <x:c r="A34" s="1" t="s">
        <x:v>22</x:v>
      </x:c>
    </x:row>
    <x:row r="35">
      <x:c r="A35" s="1" t="s">
        <x:v>23</x:v>
      </x:c>
    </x:row>
    <x:row r="36">
      <x:c r="A36" s="1" t="s">
        <x:v>24</x:v>
      </x:c>
    </x:row>
    <x:row r="37">
      <x:c r="A37" s="1" t="s">
        <x:v>25</x:v>
      </x:c>
    </x:row>
    <x:row r="38">
      <x:c r="A38" s="1" t="s">
        <x:v>26</x:v>
      </x:c>
    </x:row>
    <x:row r="40">
      <x:c r="A40" s="1" t="s">
        <x:v>27</x:v>
      </x:c>
    </x:row>
    <x:row r="42">
      <x:c r="A42" s="1" t="s">
        <x:v>18</x:v>
      </x:c>
    </x:row>
    <x:row r="44">
      <x:c r="A44" s="1" t="s">
        <x:v>28</x:v>
      </x:c>
    </x:row>
    <x:row r="46">
      <x:c r="A46" s="1" t="s">
        <x:v>29</x:v>
      </x:c>
    </x:row>
    <x:row r="48">
      <x:c r="A48" s="1" t="s">
        <x:v>30</x:v>
      </x:c>
    </x:row>
    <x:row r="50">
      <x:c r="A50" s="1" t="s">
        <x:v>31</x:v>
      </x:c>
    </x:row>
    <x:row r="52">
      <x:c r="A52" s="1" t="s">
        <x:v>32</x:v>
      </x:c>
    </x:row>
    <x:row r="53">
      <x:c r="A53" s="1" t="s">
        <x:v>33</x:v>
      </x:c>
    </x:row>
    <x:row r="54">
      <x:c r="A54" s="1" t="s">
        <x:v>34</x:v>
      </x:c>
    </x:row>
    <x:row r="55">
      <x:c r="A55" s="1" t="s">
        <x:v>35</x:v>
      </x:c>
    </x:row>
    <x:row r="56">
      <x:c r="A56" s="1" t="s">
        <x:v>36</x:v>
      </x:c>
    </x:row>
    <x:row r="57">
      <x:c r="A57" s="1" t="s">
        <x:v>37</x:v>
      </x:c>
    </x:row>
    <x:row r="59">
      <x:c r="A59" s="1" t="s">
        <x:v>38</x:v>
      </x:c>
    </x:row>
    <x:row r="61">
      <x:c r="A61" s="1" t="s">
        <x:v>39</x:v>
      </x:c>
    </x:row>
    <x:row r="63">
      <x:c r="A63" s="1" t="s">
        <x:v>18</x:v>
      </x:c>
    </x:row>
    <x:row r="65">
      <x:c r="A65" s="1" t="s">
        <x:v>40</x:v>
      </x:c>
    </x:row>
    <x:row r="67">
      <x:c r="A67" s="1" t="s">
        <x:v>29</x:v>
      </x:c>
    </x:row>
    <x:row r="69">
      <x:c r="A69" s="1" t="s">
        <x:v>41</x:v>
      </x:c>
    </x:row>
    <x:row r="71">
      <x:c r="A71" s="1" t="s">
        <x:v>21</x:v>
      </x:c>
    </x:row>
    <x:row r="73">
      <x:c r="A73" s="1" t="s">
        <x:v>42</x:v>
      </x:c>
    </x:row>
    <x:row r="74">
      <x:c r="A74" s="1" t="s">
        <x:v>43</x:v>
      </x:c>
    </x:row>
    <x:row r="75">
      <x:c r="A75" s="1" t="s">
        <x:v>44</x:v>
      </x:c>
    </x:row>
    <x:row r="77">
      <x:c r="A77" s="1" t="s">
        <x:v>45</x:v>
      </x:c>
    </x:row>
    <x:row r="79">
      <x:c r="A79" s="1" t="s">
        <x:v>18</x:v>
      </x:c>
    </x:row>
    <x:row r="81">
      <x:c r="A81" s="1" t="s">
        <x:v>46</x:v>
      </x:c>
    </x:row>
    <x:row r="83">
      <x:c r="A83" s="1" t="s">
        <x:v>29</x:v>
      </x:c>
    </x:row>
    <x:row r="85">
      <x:c r="A85" s="1" t="s">
        <x:v>47</x:v>
      </x:c>
    </x:row>
    <x:row r="87">
      <x:c r="A87" s="1" t="s">
        <x:v>21</x:v>
      </x:c>
    </x:row>
    <x:row r="89">
      <x:c r="A89" s="1" t="s">
        <x:v>48</x:v>
      </x:c>
    </x:row>
    <x:row r="90">
      <x:c r="A90" s="1" t="s">
        <x:v>49</x:v>
      </x:c>
    </x:row>
    <x:row r="91">
      <x:c r="A91" s="1" t="s">
        <x:v>50</x:v>
      </x:c>
    </x:row>
    <x:row r="92">
      <x:c r="A92" s="1" t="s">
        <x:v>51</x:v>
      </x:c>
    </x:row>
    <x:row r="94">
      <x:c r="A94" s="1" t="s">
        <x:v>52</x:v>
      </x:c>
    </x:row>
    <x:row r="96">
      <x:c r="A96" s="1" t="s">
        <x:v>18</x:v>
      </x:c>
    </x:row>
    <x:row r="98">
      <x:c r="A98" s="1" t="s">
        <x:v>53</x:v>
      </x:c>
    </x:row>
    <x:row r="100">
      <x:c r="A100" s="1" t="s">
        <x:v>29</x:v>
      </x:c>
    </x:row>
    <x:row r="102">
      <x:c r="A102" s="1" t="s">
        <x:v>54</x:v>
      </x:c>
    </x:row>
    <x:row r="104">
      <x:c r="A104" s="1" t="s">
        <x:v>21</x:v>
      </x:c>
    </x:row>
    <x:row r="106">
      <x:c r="A106" s="1" t="s">
        <x:v>55</x:v>
      </x:c>
    </x:row>
    <x:row r="107">
      <x:c r="A107" s="1" t="s">
        <x:v>56</x:v>
      </x:c>
    </x:row>
    <x:row r="108">
      <x:c r="A108" s="1" t="s">
        <x:v>57</x:v>
      </x:c>
    </x:row>
    <x:row r="109">
      <x:c r="A109" s="1" t="s">
        <x:v>58</x:v>
      </x:c>
    </x:row>
    <x:row r="110">
      <x:c r="A110" s="1" t="s">
        <x:v>59</x:v>
      </x:c>
    </x:row>
    <x:row r="111">
      <x:c r="A111" s="1" t="s">
        <x:v>60</x:v>
      </x:c>
    </x:row>
    <x:row r="113">
      <x:c r="A113" s="1" t="s">
        <x:v>61</x:v>
      </x:c>
    </x:row>
    <x:row r="115">
      <x:c r="A115" s="1" t="s">
        <x:v>18</x:v>
      </x:c>
    </x:row>
    <x:row r="117">
      <x:c r="A117" s="1" t="s">
        <x:v>62</x:v>
      </x:c>
    </x:row>
    <x:row r="119">
      <x:c r="A119" s="1" t="s">
        <x:v>29</x:v>
      </x:c>
    </x:row>
    <x:row r="121">
      <x:c r="A121" s="1" t="s">
        <x:v>63</x:v>
      </x:c>
    </x:row>
    <x:row r="123">
      <x:c r="A123" s="1" t="s">
        <x:v>64</x:v>
      </x:c>
    </x:row>
    <x:row r="125">
      <x:c r="A125" s="1" t="s">
        <x:v>21</x:v>
      </x:c>
    </x:row>
    <x:row r="127">
      <x:c r="A127" s="1" t="s">
        <x:v>65</x:v>
      </x:c>
    </x:row>
    <x:row r="128">
      <x:c r="A128" s="1" t="s">
        <x:v>66</x:v>
      </x:c>
    </x:row>
    <x:row r="129">
      <x:c r="A129" s="1" t="s">
        <x:v>67</x:v>
      </x:c>
    </x:row>
    <x:row r="131">
      <x:c r="A131" s="1" t="s">
        <x:v>68</x:v>
      </x:c>
    </x:row>
    <x:row r="133">
      <x:c r="A133" s="1" t="s">
        <x:v>18</x:v>
      </x:c>
    </x:row>
    <x:row r="135">
      <x:c r="A135" s="1" t="s">
        <x:v>69</x:v>
      </x:c>
    </x:row>
    <x:row r="137">
      <x:c r="A137" s="1" t="s">
        <x:v>29</x:v>
      </x:c>
    </x:row>
    <x:row r="139">
      <x:c r="A139" s="1" t="s">
        <x:v>70</x:v>
      </x:c>
    </x:row>
    <x:row r="141">
      <x:c r="A141" s="1" t="s">
        <x:v>71</x:v>
      </x:c>
    </x:row>
    <x:row r="143">
      <x:c r="A143" s="1" t="s">
        <x:v>21</x:v>
      </x:c>
    </x:row>
    <x:row r="145">
      <x:c r="A145" s="1" t="s">
        <x:v>72</x:v>
      </x:c>
    </x:row>
    <x:row r="146">
      <x:c r="A146" s="1" t="s">
        <x:v>73</x:v>
      </x:c>
    </x:row>
    <x:row r="147">
      <x:c r="A147" s="1" t="s">
        <x:v>74</x:v>
      </x:c>
    </x:row>
    <x:row r="148">
      <x:c r="A148" s="1" t="s">
        <x:v>75</x:v>
      </x:c>
    </x:row>
    <x:row r="149">
      <x:c r="A149" s="1" t="s">
        <x:v>76</x:v>
      </x:c>
    </x:row>
    <x:row r="151">
      <x:c r="A151" s="1" t="s">
        <x:v>77</x:v>
      </x:c>
    </x:row>
    <x:row r="153">
      <x:c r="A153" s="1" t="s">
        <x:v>18</x:v>
      </x:c>
    </x:row>
    <x:row r="155">
      <x:c r="A155" s="1" t="s">
        <x:v>78</x:v>
      </x:c>
    </x:row>
    <x:row r="157">
      <x:c r="A157" s="1" t="s">
        <x:v>29</x:v>
      </x:c>
    </x:row>
    <x:row r="159">
      <x:c r="A159" s="1" t="s">
        <x:v>79</x:v>
      </x:c>
    </x:row>
    <x:row r="161">
      <x:c r="A161" s="1" t="s">
        <x:v>21</x:v>
      </x:c>
    </x:row>
    <x:row r="163">
      <x:c r="A163" s="1" t="s">
        <x:v>80</x:v>
      </x:c>
    </x:row>
    <x:row r="165">
      <x:c r="A165" s="1" t="s">
        <x:v>81</x:v>
      </x:c>
    </x:row>
    <x:row r="166">
      <x:c r="A166" s="1" t="s">
        <x:v>82</x:v>
      </x:c>
    </x:row>
    <x:row r="167">
      <x:c r="A167" s="1" t="s">
        <x:v>83</x:v>
      </x:c>
    </x:row>
    <x:row r="168">
      <x:c r="A168" s="1" t="s">
        <x:v>84</x:v>
      </x:c>
    </x:row>
    <x:row r="169">
      <x:c r="A169" s="1" t="s">
        <x:v>85</x:v>
      </x:c>
    </x:row>
    <x:row r="171">
      <x:c r="A171" s="1" t="s">
        <x:v>86</x:v>
      </x:c>
    </x:row>
    <x:row r="173">
      <x:c r="A173" s="1" t="s">
        <x:v>18</x:v>
      </x:c>
    </x:row>
    <x:row r="175">
      <x:c r="A175" s="1" t="s">
        <x:v>87</x:v>
      </x:c>
    </x:row>
    <x:row r="177">
      <x:c r="A177" s="1" t="s">
        <x:v>29</x:v>
      </x:c>
    </x:row>
    <x:row r="179">
      <x:c r="A179" s="1" t="s">
        <x:v>88</x:v>
      </x:c>
    </x:row>
    <x:row r="181">
      <x:c r="A181" s="1" t="s">
        <x:v>89</x:v>
      </x:c>
    </x:row>
    <x:row r="183">
      <x:c r="A183" s="1" t="s">
        <x:v>90</x:v>
      </x:c>
    </x:row>
    <x:row r="185">
      <x:c r="A185" s="1" t="s">
        <x:v>91</x:v>
      </x:c>
    </x:row>
    <x:row r="186">
      <x:c r="A186" s="1" t="s">
        <x:v>92</x:v>
      </x:c>
    </x:row>
    <x:row r="187">
      <x:c r="A187" s="1" t="s">
        <x:v>93</x:v>
      </x:c>
    </x:row>
    <x:row r="188">
      <x:c r="A188" s="1" t="s">
        <x:v>94</x:v>
      </x:c>
    </x:row>
    <x:row r="190">
      <x:c r="A190" s="1" t="s">
        <x:v>95</x:v>
      </x:c>
    </x:row>
    <x:row r="192">
      <x:c r="A192" s="1" t="s">
        <x:v>18</x:v>
      </x:c>
    </x:row>
    <x:row r="194">
      <x:c r="A194" s="1" t="s">
        <x:v>96</x:v>
      </x:c>
    </x:row>
    <x:row r="196">
      <x:c r="A196" s="1" t="s">
        <x:v>97</x:v>
      </x:c>
    </x:row>
    <x:row r="198">
      <x:c r="A198" s="1" t="s">
        <x:v>98</x:v>
      </x:c>
    </x:row>
    <x:row r="199">
      <x:c r="A199" s="1" t="s">
        <x:v>99</x:v>
      </x:c>
    </x:row>
    <x:row r="200">
      <x:c r="A200" s="1" t="s">
        <x:v>100</x:v>
      </x:c>
    </x:row>
    <x:row r="202">
      <x:c r="A202" s="1" t="s">
        <x:v>101</x:v>
      </x:c>
    </x:row>
    <x:row r="204">
      <x:c r="A204" s="1" t="s">
        <x:v>102</x:v>
      </x:c>
    </x:row>
    <x:row r="206">
      <x:c r="A206" s="1" t="s">
        <x:v>103</x:v>
      </x:c>
    </x:row>
    <x:row r="207">
      <x:c r="A207" s="1" t="s">
        <x:v>104</x:v>
      </x:c>
    </x:row>
    <x:row r="208">
      <x:c r="A208" s="1" t="s">
        <x:v>105</x:v>
      </x:c>
    </x:row>
    <x:row r="210">
      <x:c r="A210" s="1" t="s">
        <x:v>106</x:v>
      </x:c>
    </x:row>
    <x:row r="211">
      <x:c r="A211" s="1" t="s">
        <x:v>107</x:v>
      </x:c>
    </x:row>
    <x:row r="213">
      <x:c r="A213" s="1" t="s">
        <x:v>108</x:v>
      </x:c>
    </x:row>
    <x:row r="214">
      <x:c r="A214" s="1" t="s">
        <x:v>109</x:v>
      </x:c>
    </x:row>
    <x:row r="216">
      <x:c r="A216" s="1" t="s">
        <x:v>110</x:v>
      </x:c>
    </x:row>
    <x:row r="217">
      <x:c r="A217" s="1" t="s">
        <x:v>111</x:v>
      </x:c>
    </x:row>
    <x:row r="219">
      <x:c r="A219" s="1" t="s">
        <x:v>112</x:v>
      </x:c>
    </x:row>
    <x:row r="220">
      <x:c r="A220" s="1" t="s">
        <x:v>113</x:v>
      </x:c>
    </x:row>
    <x:row r="222">
      <x:c r="A222" s="1" t="s">
        <x:v>114</x:v>
      </x:c>
    </x:row>
    <x:row r="223">
      <x:c r="A223" s="1" t="s">
        <x:v>115</x:v>
      </x:c>
    </x:row>
    <x:row r="225">
      <x:c r="A225" s="1" t="s">
        <x:v>116</x:v>
      </x:c>
    </x:row>
    <x:row r="226">
      <x:c r="A226" s="1" t="s">
        <x:v>117</x:v>
      </x:c>
    </x:row>
    <x:row r="228">
      <x:c r="A228" s="1" t="s">
        <x:v>118</x:v>
      </x:c>
    </x:row>
    <x:row r="229">
      <x:c r="A229" s="1" t="s">
        <x:v>115</x:v>
      </x:c>
    </x:row>
    <x:row r="231">
      <x:c r="A231" s="1" t="s">
        <x:v>119</x:v>
      </x:c>
    </x:row>
    <x:row r="232">
      <x:c r="A232" s="1" t="s">
        <x:v>120</x:v>
      </x:c>
    </x:row>
    <x:row r="234">
      <x:c r="A234" s="1" t="s">
        <x:v>121</x:v>
      </x:c>
    </x:row>
    <x:row r="235">
      <x:c r="A235" s="1" t="s">
        <x:v>120</x:v>
      </x:c>
    </x:row>
    <x:row r="237">
      <x:c r="A237" s="1" t="s">
        <x:v>122</x:v>
      </x:c>
    </x:row>
    <x:row r="238">
      <x:c r="A238" s="1" t="s">
        <x:v>120</x:v>
      </x:c>
    </x:row>
    <x:row r="240">
      <x:c r="A240" s="1" t="s">
        <x:v>123</x:v>
      </x:c>
    </x:row>
    <x:row r="241">
      <x:c r="A241" s="1" t="s">
        <x:v>120</x:v>
      </x:c>
    </x:row>
    <x:row r="243">
      <x:c r="A243" s="1" t="s">
        <x:v>124</x:v>
      </x:c>
    </x:row>
    <x:row r="244">
      <x:c r="A244" s="1" t="s">
        <x:v>125</x:v>
      </x:c>
    </x:row>
    <x:row r="246">
      <x:c r="A246" s="1" t="s">
        <x:v>126</x:v>
      </x:c>
    </x:row>
    <x:row r="247">
      <x:c r="A247" s="1" t="s">
        <x:v>127</x:v>
      </x:c>
    </x:row>
    <x:row r="249">
      <x:c r="A249" s="1" t="s">
        <x:v>128</x:v>
      </x:c>
    </x:row>
    <x:row r="250">
      <x:c r="A250" s="1" t="s">
        <x:v>120</x:v>
      </x:c>
    </x:row>
    <x:row r="252">
      <x:c r="A252" s="1" t="s">
        <x:v>129</x:v>
      </x:c>
    </x:row>
    <x:row r="253">
      <x:c r="A253" s="1" t="s">
        <x:v>130</x:v>
      </x:c>
    </x:row>
    <x:row r="255">
      <x:c r="A255" s="1" t="s">
        <x:v>131</x:v>
      </x:c>
    </x:row>
    <x:row r="256">
      <x:c r="A256" s="1" t="s">
        <x:v>130</x:v>
      </x:c>
    </x:row>
    <x:row r="258">
      <x:c r="A258" s="1" t="s">
        <x:v>132</x:v>
      </x:c>
    </x:row>
    <x:row r="259">
      <x:c r="A259" s="1" t="s">
        <x:v>130</x:v>
      </x:c>
    </x:row>
    <x:row r="261">
      <x:c r="A261" s="1" t="s">
        <x:v>133</x:v>
      </x:c>
    </x:row>
    <x:row r="262">
      <x:c r="A262" s="1" t="s">
        <x:v>134</x:v>
      </x:c>
    </x:row>
    <x:row r="264">
      <x:c r="A264" s="1" t="s">
        <x:v>135</x:v>
      </x:c>
    </x:row>
    <x:row r="265">
      <x:c r="A265" s="1" t="s">
        <x:v>136</x:v>
      </x:c>
    </x:row>
    <x:row r="267">
      <x:c r="A267" s="1" t="s">
        <x:v>137</x:v>
      </x:c>
    </x:row>
    <x:row r="268">
      <x:c r="A268" s="1" t="s">
        <x:v>138</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139</x:v>
      </x:c>
    </x:row>
    <x:row r="2">
      <x:c r="A2" s="1" t="s">
        <x:v>140</x:v>
      </x:c>
    </x:row>
    <x:row r="3">
      <x:c r="A3" s="1" t="s">
        <x:v>141</x:v>
      </x:c>
    </x:row>
    <x:row r="4">
      <x:c r="A4" s="1" t="s">
        <x:v>142</x:v>
      </x:c>
    </x:row>
    <x:row r="7">
      <x:c r="A7" s="1" t="s">
        <x:v>143</x:v>
      </x:c>
    </x:row>
    <x:row r="9">
      <x:c r="A9" s="1" t="s">
        <x:v>144</x:v>
      </x:c>
    </x:row>
    <x:row r="11">
      <x:c r="A11" s="1" t="s">
        <x:v>145</x:v>
      </x:c>
    </x:row>
    <x:row r="13">
      <x:c r="A13" s="1" t="s">
        <x:v>146</x:v>
      </x:c>
    </x:row>
    <x:row r="15">
      <x:c r="A15" s="1" t="s">
        <x:v>147</x:v>
      </x:c>
    </x:row>
    <x:row r="17">
      <x:c r="A17" s="1" t="s">
        <x:v>148</x:v>
      </x:c>
    </x:row>
    <x:row r="19">
      <x:c r="A19" s="1" t="s">
        <x:v>149</x:v>
      </x:c>
    </x:row>
    <x:row r="21">
      <x:c r="A21" s="1" t="s">
        <x:v>150</x:v>
      </x:c>
    </x:row>
    <x:row r="23">
      <x:c r="A23" s="1" t="s">
        <x:v>151</x:v>
      </x:c>
    </x:row>
    <x:row r="25">
      <x:c r="A25" s="1" t="s">
        <x:v>152</x:v>
      </x:c>
    </x:row>
    <x:row r="27">
      <x:c r="A27" s="1" t="s">
        <x:v>106</x:v>
      </x:c>
    </x:row>
    <x:row r="28">
      <x:c r="A28" s="1" t="s">
        <x:v>110</x:v>
      </x:c>
    </x:row>
    <x:row r="29">
      <x:c r="A29" s="1" t="s">
        <x:v>112</x:v>
      </x:c>
    </x:row>
    <x:row r="30">
      <x:c r="A30" s="1" t="s">
        <x:v>114</x:v>
      </x:c>
    </x:row>
    <x:row r="31">
      <x:c r="A31" s="1" t="s">
        <x:v>116</x:v>
      </x:c>
    </x:row>
    <x:row r="32">
      <x:c r="A32" s="1" t="s">
        <x:v>118</x:v>
      </x:c>
    </x:row>
    <x:row r="33">
      <x:c r="A33" s="1" t="s">
        <x:v>124</x:v>
      </x:c>
    </x:row>
    <x:row r="34">
      <x:c r="A34" s="1" t="s">
        <x:v>126</x:v>
      </x:c>
    </x:row>
    <x:row r="35">
      <x:c r="A35" s="1" t="s">
        <x:v>153</x:v>
      </x:c>
    </x:row>
    <x:row r="36">
      <x:c r="A36" s="1" t="s">
        <x:v>154</x:v>
      </x:c>
    </x:row>
    <x:row r="37">
      <x:c r="A37" s="1" t="s">
        <x:v>155</x:v>
      </x:c>
    </x:row>
    <x:row r="38">
      <x:c r="A38" s="1" t="s">
        <x:v>156</x:v>
      </x:c>
    </x:row>
    <x:row r="39">
      <x:c r="A39" s="1" t="s">
        <x:v>135</x:v>
      </x:c>
    </x:row>
    <x:row r="40">
      <x:c r="A40" s="1" t="s">
        <x:v>137</x:v>
      </x:c>
    </x:row>
    <x:row r="42">
      <x:c r="A42" s="1" t="s">
        <x:v>157</x:v>
      </x:c>
    </x:row>
    <x:row r="44">
      <x:c r="A44" s="1" t="s">
        <x:v>158</x:v>
      </x:c>
    </x:row>
    <x:row r="46">
      <x:c r="A46" s="1" t="s">
        <x:v>106</x:v>
      </x:c>
    </x:row>
    <x:row r="48">
      <x:c r="A48" s="1" t="s">
        <x:v>159</x:v>
      </x:c>
    </x:row>
    <x:row r="50">
      <x:c r="A50" s="1" t="s">
        <x:v>110</x:v>
      </x:c>
    </x:row>
    <x:row r="52">
      <x:c r="A52" s="1" t="s">
        <x:v>160</x:v>
      </x:c>
    </x:row>
    <x:row r="54">
      <x:c r="A54" s="1" t="s">
        <x:v>112</x:v>
      </x:c>
    </x:row>
    <x:row r="56">
      <x:c r="A56" s="1" t="s">
        <x:v>161</x:v>
      </x:c>
    </x:row>
    <x:row r="58">
      <x:c r="A58" s="1" t="s">
        <x:v>114</x:v>
      </x:c>
    </x:row>
    <x:row r="60">
      <x:c r="A60" s="1" t="s">
        <x:v>162</x:v>
      </x:c>
    </x:row>
    <x:row r="62">
      <x:c r="A62" s="1" t="s">
        <x:v>163</x:v>
      </x:c>
    </x:row>
    <x:row r="64">
      <x:c r="A64" s="1" t="s">
        <x:v>164</x:v>
      </x:c>
    </x:row>
    <x:row r="66">
      <x:c r="A66" s="1" t="s">
        <x:v>116</x:v>
      </x:c>
    </x:row>
    <x:row r="68">
      <x:c r="A68" s="1" t="s">
        <x:v>165</x:v>
      </x:c>
    </x:row>
    <x:row r="70">
      <x:c r="A70" s="1" t="s">
        <x:v>118</x:v>
      </x:c>
    </x:row>
    <x:row r="72">
      <x:c r="A72" s="1" t="s">
        <x:v>162</x:v>
      </x:c>
    </x:row>
    <x:row r="74">
      <x:c r="A74" s="1" t="s">
        <x:v>166</x:v>
      </x:c>
    </x:row>
    <x:row r="76">
      <x:c r="A76" s="1" t="s">
        <x:v>124</x:v>
      </x:c>
    </x:row>
    <x:row r="78">
      <x:c r="A78" s="1" t="s">
        <x:v>167</x:v>
      </x:c>
    </x:row>
    <x:row r="80">
      <x:c r="A80" s="1" t="s">
        <x:v>126</x:v>
      </x:c>
    </x:row>
    <x:row r="82">
      <x:c r="A82" s="1" t="s">
        <x:v>168</x:v>
      </x:c>
    </x:row>
    <x:row r="84">
      <x:c r="A84" s="1" t="s">
        <x:v>153</x:v>
      </x:c>
    </x:row>
    <x:row r="86">
      <x:c r="A86" s="1" t="s">
        <x:v>169</x:v>
      </x:c>
    </x:row>
    <x:row r="88">
      <x:c r="A88" s="1" t="s">
        <x:v>154</x:v>
      </x:c>
    </x:row>
    <x:row r="90">
      <x:c r="A90" s="1" t="s">
        <x:v>170</x:v>
      </x:c>
    </x:row>
    <x:row r="92">
      <x:c r="A92" s="1" t="s">
        <x:v>171</x:v>
      </x:c>
    </x:row>
    <x:row r="94">
      <x:c r="A94" s="1" t="s">
        <x:v>155</x:v>
      </x:c>
    </x:row>
    <x:row r="96">
      <x:c r="A96" s="1" t="s">
        <x:v>172</x:v>
      </x:c>
    </x:row>
    <x:row r="98">
      <x:c r="A98" s="1" t="s">
        <x:v>156</x:v>
      </x:c>
    </x:row>
    <x:row r="100">
      <x:c r="A100" s="1" t="s">
        <x:v>173</x:v>
      </x:c>
    </x:row>
    <x:row r="102">
      <x:c r="A102" s="1" t="s">
        <x:v>135</x:v>
      </x:c>
    </x:row>
    <x:row r="104">
      <x:c r="A104" s="1" t="s">
        <x:v>174</x:v>
      </x:c>
    </x:row>
    <x:row r="106">
      <x:c r="A106" s="1" t="s">
        <x:v>175</x:v>
      </x:c>
    </x:row>
    <x:row r="107">
      <x:c r="A107" s="1" t="s">
        <x:v>176</x:v>
      </x:c>
    </x:row>
    <x:row r="108">
      <x:c r="A108" s="1" t="s">
        <x:v>177</x:v>
      </x:c>
    </x:row>
    <x:row r="110">
      <x:c r="A110" s="1" t="s">
        <x:v>178</x:v>
      </x:c>
    </x:row>
    <x:row r="112">
      <x:c r="A112" s="1" t="s">
        <x:v>137</x:v>
      </x:c>
    </x:row>
    <x:row r="114">
      <x:c r="A114" s="1" t="s">
        <x:v>138</x:v>
      </x:c>
    </x:row>
    <x:row r="116">
      <x:c r="A116" s="1" t="s">
        <x:v>179</x:v>
      </x:c>
    </x:row>
    <x:row r="118">
      <x:c r="A118" s="1" t="s">
        <x:v>180</x:v>
      </x:c>
    </x:row>
    <x:row r="119">
      <x:c r="A119" s="1" t="s">
        <x:v>181</x:v>
      </x:c>
    </x:row>
    <x:row r="120">
      <x:c r="A120" s="1" t="s">
        <x:v>182</x:v>
      </x:c>
    </x:row>
    <x:row r="121">
      <x:c r="A121" s="1" t="s">
        <x:v>183</x:v>
      </x:c>
    </x:row>
    <x:row r="122">
      <x:c r="A122" s="1" t="s">
        <x:v>184</x:v>
      </x:c>
    </x:row>
    <x:row r="123">
      <x:c r="A123" s="1" t="s">
        <x:v>185</x:v>
      </x:c>
    </x:row>
    <x:row r="124">
      <x:c r="A124" s="1" t="s">
        <x:v>186</x:v>
      </x:c>
    </x:row>
    <x:row r="125">
      <x:c r="A125" s="1" t="s">
        <x:v>187</x:v>
      </x:c>
    </x:row>
    <x:row r="126">
      <x:c r="A126" s="1" t="s">
        <x:v>188</x:v>
      </x:c>
    </x:row>
    <x:row r="128">
      <x:c r="A128" s="1" t="s">
        <x:v>189</x:v>
      </x:c>
    </x:row>
    <x:row r="130">
      <x:c r="A130" s="1" t="s">
        <x:v>190</x:v>
      </x:c>
    </x:row>
    <x:row r="131">
      <x:c r="A131" s="1" t="s">
        <x:v>191</x:v>
      </x:c>
    </x:row>
    <x:row r="132">
      <x:c r="A132" s="1" t="s">
        <x:v>192</x:v>
      </x:c>
    </x:row>
    <x:row r="133">
      <x:c r="A133" s="1" t="s">
        <x:v>193</x:v>
      </x:c>
    </x:row>
    <x:row r="134">
      <x:c r="A134" s="1" t="s">
        <x:v>194</x:v>
      </x:c>
    </x:row>
    <x:row r="135">
      <x:c r="A135" s="1" t="s">
        <x:v>185</x:v>
      </x:c>
    </x:row>
    <x:row r="136">
      <x:c r="A136" s="1" t="s">
        <x:v>195</x:v>
      </x:c>
    </x:row>
    <x:row r="137">
      <x:c r="A137" s="1" t="s">
        <x:v>196</x:v>
      </x:c>
    </x:row>
    <x:row r="138">
      <x:c r="A138" s="1" t="s">
        <x:v>188</x:v>
      </x:c>
    </x:row>
    <x:row r="140">
      <x:c r="A140" s="1" t="s">
        <x:v>197</x:v>
      </x:c>
    </x:row>
    <x:row r="142">
      <x:c r="A142" s="1" t="s">
        <x:v>198</x:v>
      </x:c>
    </x:row>
    <x:row r="144">
      <x:c r="A144" s="1" t="s">
        <x:v>199</x:v>
      </x:c>
    </x:row>
    <x:row r="146">
      <x:c r="A146" s="1" t="s">
        <x:v>200</x:v>
      </x:c>
    </x:row>
    <x:row r="147">
      <x:c r="A147" s="1" t="s">
        <x:v>201</x:v>
      </x:c>
    </x:row>
    <x:row r="148">
      <x:c r="A148" s="1" t="s">
        <x:v>202</x:v>
      </x:c>
    </x:row>
    <x:row r="150">
      <x:c r="A150" s="1" t="s">
        <x:v>203</x:v>
      </x:c>
    </x:row>
    <x:row r="152">
      <x:c r="A152" s="1" t="s">
        <x:v>204</x:v>
      </x:c>
    </x:row>
    <x:row r="154">
      <x:c r="A154" s="1" t="s">
        <x:v>205</x:v>
      </x:c>
    </x:row>
    <x:row r="155">
      <x:c r="A155" s="1" t="s">
        <x:v>188</x:v>
      </x:c>
    </x:row>
    <x:row r="156">
      <x:c r="A156" s="1" t="s">
        <x:v>206</x:v>
      </x:c>
    </x:row>
    <x:row r="158">
      <x:c r="A158" s="1" t="s">
        <x:v>207</x:v>
      </x:c>
    </x:row>
    <x:row r="160">
      <x:c r="A160" s="1" t="s">
        <x:v>208</x:v>
      </x:c>
    </x:row>
    <x:row r="161">
      <x:c r="A161" s="1" t="s">
        <x:v>209</x:v>
      </x:c>
    </x:row>
    <x:row r="162">
      <x:c r="A162" s="1" t="s">
        <x:v>210</x:v>
      </x:c>
    </x:row>
    <x:row r="163">
      <x:c r="A163" s="1" t="s">
        <x:v>211</x:v>
      </x:c>
    </x:row>
    <x:row r="164">
      <x:c r="A164" s="1" t="s">
        <x:v>157</x:v>
      </x:c>
    </x:row>
    <x:row r="165">
      <x:c r="A165" s="1" t="s">
        <x:v>212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8" hidden="0" customWidth="1"/>
    <x:col min="2" max="2" width="20.6299991607666" hidden="0" customWidth="1"/>
    <x:col min="3" max="3" width="32" hidden="0" customWidth="1"/>
    <x:col min="4" max="4" width="12" hidden="0" customWidth="1"/>
  </x:cols>
  <x:sheetData>
    <x:row r="1" ht="32" customHeight="1">
      <x:c r="A1" s="58" t="str">
        <x:v>CategoryID</x:v>
      </x:c>
      <x:c r="B1" s="58" t="str">
        <x:v>Category</x:v>
      </x:c>
      <x:c r="C1" s="58" t="str">
        <x:v>Notes</x:v>
      </x:c>
      <x:c r="D1" s="58" t="str">
        <x:v>Status</x:v>
      </x:c>
    </x:row>
    <x:row r="2">
      <x:c r="A2" s="57" t="str">
        <x:v>CAT-ART</x:v>
      </x:c>
      <x:c r="B2" s="57" t="str">
        <x:v>Active Recovery Technique</x:v>
      </x:c>
      <x:c r="C2" s="57" t="str">
        <x:v>Includes exercises and stretches</x:v>
      </x:c>
      <x:c r="D2" s="57" t="str">
        <x:v>Active</x:v>
      </x:c>
    </x:row>
    <x:row r="3">
      <x:c r="A3" s="57" t="str">
        <x:v>CAT-BUS-CONT</x:v>
      </x:c>
      <x:c r="B3" s="57" t="str">
        <x:v>Business Content</x:v>
      </x:c>
      <x:c r="C3" s="57" t="str">
        <x:v>Includes content related to Recovery Tools Business</x:v>
      </x:c>
      <x:c r="D3" s="57" t="str">
        <x:v>Active</x:v>
      </x:c>
    </x:row>
    <x:row r="4">
      <x:c r="A4" s="57" t="str">
        <x:v>CAT-CLEDU</x:v>
      </x:c>
      <x:c r="B4" s="57" t="str">
        <x:v>Client Education</x:v>
      </x:c>
      <x:c r="C4" s="57" t="str">
        <x:v>Includes pdf, talking points, videos</x:v>
      </x:c>
      <x:c r="D4" s="57" t="str">
        <x:v>Active</x:v>
      </x:c>
    </x:row>
    <x:row r="5">
      <x:c r="A5" s="57" t="str">
        <x:v>CAT-ERGO</x:v>
      </x:c>
      <x:c r="B5" s="57" t="str">
        <x:v>Ergonomics</x:v>
      </x:c>
      <x:c r="C5" s="57" t="str">
        <x:v>Includes postural and positional</x:v>
      </x:c>
      <x:c r="D5" s="57" t="str">
        <x:v>Active</x:v>
      </x:c>
    </x:row>
    <x:row r="6">
      <x:c r="A6" s="57" t="str">
        <x:v>CAT-FOCUS</x:v>
      </x:c>
      <x:c r="B6" s="57" t="str">
        <x:v>Focus</x:v>
      </x:c>
      <x:c r="C6" s="57" t="str">
        <x:v>Focus point.</x:v>
      </x:c>
      <x:c r="D6" s="57" t="str">
        <x:v>Active</x:v>
      </x:c>
    </x:row>
    <x:row r="7">
      <x:c r="A7" s="57" t="str">
        <x:v>CAT-GOAL</x:v>
      </x:c>
      <x:c r="B7" s="57" t="str">
        <x:v>Goal</x:v>
      </x:c>
      <x:c r="C7" s="57" t="str">
        <x:v>Client Goals</x:v>
      </x:c>
      <x:c r="D7" s="57" t="str">
        <x:v>Active</x:v>
      </x:c>
    </x:row>
    <x:row r="8">
      <x:c r="A8" s="57" t="str">
        <x:v>CAT-NEURODYNAMIC</x:v>
      </x:c>
      <x:c r="B8" s="57" t="str">
        <x:v>Neurodynamic</x:v>
      </x:c>
      <x:c r="C8" s="57" t="str">
        <x:v>Neurodynamic</x:v>
      </x:c>
      <x:c r="D8" s="57" t="str">
        <x:v>Active</x:v>
      </x:c>
    </x:row>
    <x:row r="9">
      <x:c r="A9" s="57" t="str">
        <x:v>CAT-PRESENTATION</x:v>
      </x:c>
      <x:c r="B9" s="57" t="str">
        <x:v>Client Presentation</x:v>
      </x:c>
      <x:c r="C9" s="57" t="str">
        <x:v>Includes all presentations</x:v>
      </x:c>
      <x:c r="D9" s="57" t="str">
        <x:v>Active</x:v>
      </x:c>
    </x:row>
    <x:row r="10">
      <x:c r="A10" s="57" t="str">
        <x:v>CAT-REGION</x:v>
      </x:c>
      <x:c r="B10" s="57" t="str">
        <x:v>Region</x:v>
      </x:c>
      <x:c r="C10" s="57" t="str">
        <x:v>Regions of the body</x:v>
      </x:c>
      <x:c r="D10" s="57" t="str">
        <x:v>Active</x:v>
      </x:c>
    </x:row>
    <x:row r="11">
      <x:c r="A11" s="57" t="str">
        <x:v>CAT-TEST</x:v>
      </x:c>
      <x:c r="B11" s="57" t="str">
        <x:v>Clinical Test</x:v>
      </x:c>
      <x:c r="C11" s="57" t="str">
        <x:v>Includes subjective and objective</x:v>
      </x:c>
      <x:c r="D11" s="57" t="str">
        <x:v>Active</x:v>
      </x:c>
    </x:row>
    <x:row r="12">
      <x:c r="A12" s="57" t="str">
        <x:v>CAT-THEREDU</x:v>
      </x:c>
      <x:c r="B12" s="57" t="str">
        <x:v>Therapist Education</x:v>
      </x:c>
      <x:c r="C12" s="57" t="str">
        <x:v>Includes handouts, slides, talking points, videos</x:v>
      </x:c>
      <x:c r="D12" s="57" t="str">
        <x:v>Active</x:v>
      </x:c>
    </x:row>
    <x:row r="13">
      <x:c r="A13" s="57" t="str">
        <x:v>CAT-TREAT</x:v>
      </x:c>
      <x:c r="B13" s="57" t="str">
        <x:v>Treatment Technique</x:v>
      </x:c>
      <x:c r="C13" s="57" t="str">
        <x:v>Includes all treatment Techniques</x:v>
      </x:c>
      <x:c r="D13" s="57" t="str">
        <x:v>Active</x:v>
      </x:c>
    </x:row>
  </x:sheetData>
  <x:pageMargins left="0.7" right="0.7" top="0.75" bottom="0.75" header="0.3" footer="0.3"/>
  <x:tableParts count="1">
    <x:tablePart xmlns:r="http://schemas.openxmlformats.org/officeDocument/2006/relationships" r:id="Rc430902ce86c42b6"/>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17.6299991607666" hidden="0" customWidth="1"/>
    <x:col min="2" max="2" width="20.6299991607666" hidden="0" customWidth="1"/>
    <x:col min="3" max="3" width="18" hidden="0" customWidth="1"/>
    <x:col min="4" max="4" width="12" hidden="0" customWidth="1"/>
    <x:col min="5" max="5" width="22.25" hidden="0" customWidth="1"/>
    <x:col min="6" max="6" width="33.75" hidden="0" customWidth="1"/>
    <x:col min="7" max="7" width="12" hidden="0" customWidth="1"/>
  </x:cols>
  <x:sheetData>
    <x:row r="1" ht="32" customHeight="1">
      <x:c r="A1" s="58" t="str">
        <x:v>TagID</x:v>
      </x:c>
      <x:c r="B1" s="58" t="str">
        <x:v>TagName</x:v>
      </x:c>
      <x:c r="C1" s="58" t="str">
        <x:v>CategoryID</x:v>
      </x:c>
      <x:c r="D1" s="58" t="str">
        <x:v>Abbreviation</x:v>
      </x:c>
      <x:c r="E1" s="58" t="str">
        <x:v>Synonyms</x:v>
      </x:c>
      <x:c r="F1" s="58" t="str">
        <x:v>Description</x:v>
      </x:c>
      <x:c r="G1" s="58" t="str">
        <x:v>Status</x:v>
      </x:c>
    </x:row>
    <x:row r="2">
      <x:c r="A2" s="57" t="str">
        <x:v>TAG-AFFILIATE</x:v>
      </x:c>
      <x:c r="B2" s="57" t="str">
        <x:v>Affiliate</x:v>
      </x:c>
      <x:c r="C2" s="57" t="str">
        <x:v>CAT-BUS-CONT</x:v>
      </x:c>
      <x:c r="D2" s="57" t="str">
        <x:v>Aff</x:v>
      </x:c>
      <x:c r="E2" s="57" t="str">
        <x:v>Partner</x:v>
      </x:c>
      <x:c r="F2" s="57" t="str">
        <x:v>Affiliate of Recovery Tools</x:v>
      </x:c>
      <x:c r="G2" s="57" t="str">
        <x:v>Active</x:v>
      </x:c>
    </x:row>
    <x:row r="3">
      <x:c r="A3" s="57" t="str">
        <x:v>TAG-BALANCE</x:v>
      </x:c>
      <x:c r="B3" s="57" t="str">
        <x:v>Balance</x:v>
      </x:c>
      <x:c r="C3" s="57" t="str">
        <x:v>CAT-ART</x:v>
      </x:c>
      <x:c r="D3" s="57" t="str">
        <x:v>Balance</x:v>
      </x:c>
      <x:c r="E3" s="57" t="str">
        <x:v>Equilibrium</x:v>
      </x:c>
      <x:c r="F3" s="57" t="str">
        <x:v>Balance training focus</x:v>
      </x:c>
      <x:c r="G3" s="57" t="str">
        <x:v>Active</x:v>
      </x:c>
    </x:row>
    <x:row r="4">
      <x:c r="A4" s="57" t="str">
        <x:v>TAG-CLOSER</x:v>
      </x:c>
      <x:c r="B4" s="57" t="str">
        <x:v>Closer</x:v>
      </x:c>
      <x:c r="C4" s="57" t="str">
        <x:v>CAT-TREAT</x:v>
      </x:c>
      <x:c r="D4" s="57" t="str">
        <x:v>Close</x:v>
      </x:c>
      <x:c r="E4" s="57" t="str">
        <x:v>Closing technique</x:v>
      </x:c>
      <x:c r="F4" s="57" t="str">
        <x:v>Closing technique around neural structure</x:v>
      </x:c>
      <x:c r="G4" s="57" t="str">
        <x:v>Active</x:v>
      </x:c>
    </x:row>
    <x:row r="5">
      <x:c r="A5" s="57" t="str">
        <x:v>TAG-COMPLIANCE</x:v>
      </x:c>
      <x:c r="B5" s="57" t="str">
        <x:v>Compliance</x:v>
      </x:c>
      <x:c r="C5" s="57" t="str">
        <x:v>CAT-BUS-CONT</x:v>
      </x:c>
      <x:c r="D5" s="57" t="str">
        <x:v>Comp</x:v>
      </x:c>
      <x:c r="E5" s="57" t="str">
        <x:v>Regulatory</x:v>
      </x:c>
      <x:c r="F5" s="57" t="str">
        <x:v>Recovery Tools Compliance</x:v>
      </x:c>
      <x:c r="G5" s="57" t="str">
        <x:v>Active</x:v>
      </x:c>
    </x:row>
    <x:row r="6">
      <x:c r="A6" s="57" t="str">
        <x:v>TAG-CORE</x:v>
      </x:c>
      <x:c r="B6" s="57" t="str">
        <x:v>Core</x:v>
      </x:c>
      <x:c r="C6" s="57" t="str">
        <x:v>CAT-ART</x:v>
      </x:c>
      <x:c r="D6" s="57" t="str">
        <x:v>Core</x:v>
      </x:c>
      <x:c r="E6" s="57" t="str">
        <x:v>Abdominal core;Core stability</x:v>
      </x:c>
      <x:c r="F6" s="57" t="str">
        <x:v>Core stability or activation focus</x:v>
      </x:c>
      <x:c r="G6" s="57" t="str">
        <x:v>Active</x:v>
      </x:c>
    </x:row>
    <x:row r="7">
      <x:c r="A7" s="57" t="str">
        <x:v>TAG-CUSTOMER</x:v>
      </x:c>
      <x:c r="B7" s="57" t="str">
        <x:v>Customer</x:v>
      </x:c>
      <x:c r="C7" s="57" t="str">
        <x:v>CAT-BUS-CONT</x:v>
      </x:c>
      <x:c r="D7" s="57" t="str">
        <x:v>Cust</x:v>
      </x:c>
      <x:c r="E7" s="57" t="str">
        <x:v>Client</x:v>
      </x:c>
      <x:c r="F7" s="57" t="str">
        <x:v>Recovery Tools Customer</x:v>
      </x:c>
      <x:c r="G7" s="57" t="str">
        <x:v>Active</x:v>
      </x:c>
    </x:row>
    <x:row r="8">
      <x:c r="A8" s="57" t="str">
        <x:v>TAG-CX</x:v>
      </x:c>
      <x:c r="B8" s="57" t="str">
        <x:v>Cervical</x:v>
      </x:c>
      <x:c r="C8" s="57" t="str">
        <x:v>CAT-REGION</x:v>
      </x:c>
      <x:c r="D8" s="57" t="str"/>
      <x:c r="E8" s="57" t="str"/>
      <x:c r="F8" s="57" t="str"/>
      <x:c r="G8" s="57" t="str">
        <x:v>Active</x:v>
      </x:c>
    </x:row>
    <x:row r="9">
      <x:c r="A9" s="57" t="str">
        <x:v>TAG-ECOMMERCE</x:v>
      </x:c>
      <x:c r="B9" s="57" t="str">
        <x:v>Ecommerce</x:v>
      </x:c>
      <x:c r="C9" s="57" t="str">
        <x:v>CAT-BUS-CONT</x:v>
      </x:c>
      <x:c r="D9" s="57" t="str">
        <x:v>Ecom</x:v>
      </x:c>
      <x:c r="E9" s="57" t="str">
        <x:v>Online store</x:v>
      </x:c>
      <x:c r="F9" s="57" t="str">
        <x:v>Recovery Tools Ecommerce</x:v>
      </x:c>
      <x:c r="G9" s="57" t="str">
        <x:v>Active</x:v>
      </x:c>
    </x:row>
    <x:row r="10">
      <x:c r="A10" s="57" t="str">
        <x:v>TAG-FUNC</x:v>
      </x:c>
      <x:c r="B10" s="57" t="str">
        <x:v>Functional Movement</x:v>
      </x:c>
      <x:c r="C10" s="57" t="str">
        <x:v>CAT-GOAL</x:v>
      </x:c>
      <x:c r="D10" s="57" t="str">
        <x:v>FM</x:v>
      </x:c>
      <x:c r="E10" s="57" t="str">
        <x:v>Functional patterns</x:v>
      </x:c>
      <x:c r="F10" s="57" t="str">
        <x:v>Improving functional movement</x:v>
      </x:c>
      <x:c r="G10" s="57" t="str">
        <x:v>Active</x:v>
      </x:c>
    </x:row>
    <x:row r="11">
      <x:c r="A11" s="57" t="str">
        <x:v>TAG-HEADACHE</x:v>
      </x:c>
      <x:c r="B11" s="57" t="str">
        <x:v>Headache</x:v>
      </x:c>
      <x:c r="C11" s="57" t="str">
        <x:v>CAT-PRESENTATION</x:v>
      </x:c>
      <x:c r="D11" s="57" t="str">
        <x:v>HA</x:v>
      </x:c>
      <x:c r="E11" s="57" t="str">
        <x:v>Headache-related</x:v>
      </x:c>
      <x:c r="F11" s="57" t="str">
        <x:v>Headache-related technique or test</x:v>
      </x:c>
      <x:c r="G11" s="57" t="str">
        <x:v>Active</x:v>
      </x:c>
    </x:row>
    <x:row r="12">
      <x:c r="A12" s="57" t="str">
        <x:v>TAG-LEGAL</x:v>
      </x:c>
      <x:c r="B12" s="57" t="str">
        <x:v>Legal</x:v>
      </x:c>
      <x:c r="C12" s="57" t="str">
        <x:v>CAT-BUS-CONT</x:v>
      </x:c>
      <x:c r="D12" s="57" t="str">
        <x:v>Legal</x:v>
      </x:c>
      <x:c r="E12" s="57" t="str">
        <x:v>Compliance</x:v>
      </x:c>
      <x:c r="F12" s="57" t="str">
        <x:v>Legal aspects of Recovery Tools</x:v>
      </x:c>
      <x:c r="G12" s="57" t="str">
        <x:v>Active</x:v>
      </x:c>
    </x:row>
    <x:row r="13">
      <x:c r="A13" s="57" t="str">
        <x:v>TAG-LLNT</x:v>
      </x:c>
      <x:c r="B13" s="57" t="str">
        <x:v>LLNT</x:v>
      </x:c>
      <x:c r="C13" s="57" t="str">
        <x:v>CAT-TEST</x:v>
      </x:c>
      <x:c r="D13" s="57" t="str">
        <x:v>LLNT</x:v>
      </x:c>
      <x:c r="E13" s="57" t="str">
        <x:v>Lower limb neuro test</x:v>
      </x:c>
      <x:c r="F13" s="57" t="str">
        <x:v>Lower limb neurodynamic test</x:v>
      </x:c>
      <x:c r="G13" s="57" t="str">
        <x:v>Active</x:v>
      </x:c>
    </x:row>
    <x:row r="14">
      <x:c r="A14" s="57" t="str">
        <x:v>TAG-LOAD</x:v>
      </x:c>
      <x:c r="B14" s="57" t="str">
        <x:v>Load Tolerance</x:v>
      </x:c>
      <x:c r="C14" s="57" t="str">
        <x:v>CAT-GOAL</x:v>
      </x:c>
      <x:c r="D14" s="57" t="str">
        <x:v>Load</x:v>
      </x:c>
      <x:c r="E14" s="57" t="str">
        <x:v>Load capacity</x:v>
      </x:c>
      <x:c r="F14" s="57" t="str">
        <x:v>Improving load tolerance</x:v>
      </x:c>
      <x:c r="G14" s="57" t="str">
        <x:v>Active</x:v>
      </x:c>
    </x:row>
    <x:row r="15">
      <x:c r="A15" s="57" t="str">
        <x:v>TAG-LUMBAR</x:v>
      </x:c>
      <x:c r="B15" s="57" t="str">
        <x:v>Lumbar</x:v>
      </x:c>
      <x:c r="C15" s="57" t="str">
        <x:v>CAT-REGION</x:v>
      </x:c>
      <x:c r="D15" s="57" t="str"/>
      <x:c r="E15" s="57" t="str"/>
      <x:c r="F15" s="57" t="str"/>
      <x:c r="G15" s="57" t="str">
        <x:v>Active</x:v>
      </x:c>
    </x:row>
    <x:row r="16">
      <x:c r="A16" s="57" t="str">
        <x:v>TAG-MANUAL-NERVE</x:v>
      </x:c>
      <x:c r="B16" s="57" t="str">
        <x:v>Manual Nerve Mobilisation</x:v>
      </x:c>
      <x:c r="C16" s="57" t="str">
        <x:v>CAT-TREAT</x:v>
      </x:c>
      <x:c r="D16" s="57" t="str">
        <x:v>MNM</x:v>
      </x:c>
      <x:c r="E16" s="57" t="str">
        <x:v>Nerve mobilisation</x:v>
      </x:c>
      <x:c r="F16" s="57" t="str">
        <x:v>Manual palpation/mobilisation of nerve tissue</x:v>
      </x:c>
      <x:c r="G16" s="57" t="str">
        <x:v>Active</x:v>
      </x:c>
    </x:row>
    <x:row r="17">
      <x:c r="A17" s="57" t="str">
        <x:v>TAG-MOB</x:v>
      </x:c>
      <x:c r="B17" s="57" t="str">
        <x:v>Mobility</x:v>
      </x:c>
      <x:c r="C17" s="57" t="str">
        <x:v>CAT-GOAL</x:v>
      </x:c>
      <x:c r="D17" s="57" t="str">
        <x:v>Mob</x:v>
      </x:c>
      <x:c r="E17" s="57" t="str">
        <x:v>Mobility</x:v>
      </x:c>
      <x:c r="F17" s="57" t="str">
        <x:v>Improving mobility</x:v>
      </x:c>
      <x:c r="G17" s="57" t="str">
        <x:v>Active</x:v>
      </x:c>
    </x:row>
    <x:row r="18">
      <x:c r="A18" s="57" t="str">
        <x:v>TAG-MOTOR</x:v>
      </x:c>
      <x:c r="B18" s="57" t="str">
        <x:v>Motor Control</x:v>
      </x:c>
      <x:c r="C18" s="57" t="str">
        <x:v>CAT-GOAL</x:v>
      </x:c>
      <x:c r="D18" s="57" t="str">
        <x:v>MC</x:v>
      </x:c>
      <x:c r="E18" s="57" t="str">
        <x:v>Motor learning</x:v>
      </x:c>
      <x:c r="F18" s="57" t="str">
        <x:v>Improving neuromuscular control</x:v>
      </x:c>
      <x:c r="G18" s="57" t="str">
        <x:v>Active</x:v>
      </x:c>
    </x:row>
    <x:row r="19">
      <x:c r="A19" s="57" t="str">
        <x:v>TAG-NEURO</x:v>
      </x:c>
      <x:c r="B19" s="57" t="str">
        <x:v>Neurodynamic</x:v>
      </x:c>
      <x:c r="C19" s="57" t="str">
        <x:v>CAT-FOCUS</x:v>
      </x:c>
      <x:c r="D19" s="57" t="str">
        <x:v>ND</x:v>
      </x:c>
      <x:c r="E19" s="57" t="str">
        <x:v>Neural mobility</x:v>
      </x:c>
      <x:c r="F19" s="57" t="str">
        <x:v>Neural assessment/treatment/exercise</x:v>
      </x:c>
      <x:c r="G19" s="57" t="str">
        <x:v>Active</x:v>
      </x:c>
    </x:row>
    <x:row r="20">
      <x:c r="A20" s="57" t="str">
        <x:v>TAG-OPENER</x:v>
      </x:c>
      <x:c r="B20" s="57" t="str">
        <x:v>Opener</x:v>
      </x:c>
      <x:c r="C20" s="57" t="str">
        <x:v>CAT-TREAT</x:v>
      </x:c>
      <x:c r="D20" s="57" t="str">
        <x:v>Open</x:v>
      </x:c>
      <x:c r="E20" s="57" t="str">
        <x:v>Opening technique</x:v>
      </x:c>
      <x:c r="F20" s="57" t="str">
        <x:v>Opening technique around neural structure</x:v>
      </x:c>
      <x:c r="G20" s="57" t="str">
        <x:v>Active</x:v>
      </x:c>
    </x:row>
    <x:row r="21">
      <x:c r="A21" s="57" t="str">
        <x:v>TAG-OPERATIONS</x:v>
      </x:c>
      <x:c r="B21" s="57" t="str">
        <x:v>Recovery Tools Operations</x:v>
      </x:c>
      <x:c r="C21" s="57" t="str">
        <x:v>CAT-BUS-CONT</x:v>
      </x:c>
      <x:c r="D21" s="57" t="str">
        <x:v>Ops</x:v>
      </x:c>
      <x:c r="E21" s="57" t="str">
        <x:v>Operations</x:v>
      </x:c>
      <x:c r="F21" s="57" t="str">
        <x:v>Operation of the Recovery Tools Business</x:v>
      </x:c>
      <x:c r="G21" s="57" t="str">
        <x:v>Active</x:v>
      </x:c>
    </x:row>
    <x:row r="22">
      <x:c r="A22" s="57" t="str">
        <x:v>TAG-PAIN</x:v>
      </x:c>
      <x:c r="B22" s="57" t="str">
        <x:v>Reduce Pain</x:v>
      </x:c>
      <x:c r="C22" s="57" t="str">
        <x:v>CAT-GOAL</x:v>
      </x:c>
      <x:c r="D22" s="57" t="str">
        <x:v>Pain</x:v>
      </x:c>
      <x:c r="E22" s="57" t="str">
        <x:v>Pain reduction</x:v>
      </x:c>
      <x:c r="F22" s="57" t="str">
        <x:v>Reducing pain symptoms</x:v>
      </x:c>
      <x:c r="G22" s="57" t="str">
        <x:v>Active</x:v>
      </x:c>
    </x:row>
    <x:row r="23">
      <x:c r="A23" s="57" t="str">
        <x:v>TAG-PARTNERSHIP</x:v>
      </x:c>
      <x:c r="B23" s="57" t="str">
        <x:v>Partnership</x:v>
      </x:c>
      <x:c r="C23" s="57" t="str">
        <x:v>CAT-BUS-CONT</x:v>
      </x:c>
      <x:c r="D23" s="57" t="str">
        <x:v>Partner</x:v>
      </x:c>
      <x:c r="E23" s="57" t="str">
        <x:v>Collaboration</x:v>
      </x:c>
      <x:c r="F23" s="57" t="str">
        <x:v>Partnership with Recovery Tools</x:v>
      </x:c>
      <x:c r="G23" s="57" t="str">
        <x:v>Active</x:v>
      </x:c>
    </x:row>
    <x:row r="24">
      <x:c r="A24" s="57" t="str">
        <x:v>TAG-PRIVACY</x:v>
      </x:c>
      <x:c r="B24" s="57" t="str">
        <x:v>Privacy</x:v>
      </x:c>
      <x:c r="C24" s="57" t="str">
        <x:v>CAT-BUS-CONT</x:v>
      </x:c>
      <x:c r="D24" s="57" t="str">
        <x:v>Privacy</x:v>
      </x:c>
      <x:c r="E24" s="57" t="str">
        <x:v>Data protection</x:v>
      </x:c>
      <x:c r="F24" s="57" t="str">
        <x:v>Recovery Tools Privacy</x:v>
      </x:c>
      <x:c r="G24" s="57" t="str">
        <x:v>Active</x:v>
      </x:c>
    </x:row>
    <x:row r="25">
      <x:c r="A25" s="57" t="str">
        <x:v>TAG-RC</x:v>
      </x:c>
      <x:c r="B25" s="57" t="str">
        <x:v>Rotator Cuff</x:v>
      </x:c>
      <x:c r="C25" s="57" t="str">
        <x:v>CAT-REGION</x:v>
      </x:c>
      <x:c r="D25" s="57" t="str"/>
      <x:c r="E25" s="57" t="str"/>
      <x:c r="F25" s="57" t="str"/>
      <x:c r="G25" s="57" t="str">
        <x:v>Active</x:v>
      </x:c>
    </x:row>
    <x:row r="26">
      <x:c r="A26" s="57" t="str">
        <x:v>TAG-SLIDER</x:v>
      </x:c>
      <x:c r="B26" s="57" t="str">
        <x:v>Slider</x:v>
      </x:c>
      <x:c r="C26" s="57" t="str">
        <x:v>CAT-NEURODYNAMIC</x:v>
      </x:c>
      <x:c r="D26" s="57" t="str">
        <x:v>ND-S</x:v>
      </x:c>
      <x:c r="E26" s="57" t="str">
        <x:v>Neural slider</x:v>
      </x:c>
      <x:c r="F26" s="57" t="str">
        <x:v>Neural sliding technique</x:v>
      </x:c>
      <x:c r="G26" s="57" t="str">
        <x:v>Active</x:v>
      </x:c>
    </x:row>
    <x:row r="27">
      <x:c r="A27" s="57" t="str">
        <x:v>TAG-STAB</x:v>
      </x:c>
      <x:c r="B27" s="57" t="str">
        <x:v>Stability</x:v>
      </x:c>
      <x:c r="C27" s="57" t="str">
        <x:v>CAT-GOAL</x:v>
      </x:c>
      <x:c r="D27" s="57" t="str">
        <x:v>Stab</x:v>
      </x:c>
      <x:c r="E27" s="57" t="str">
        <x:v>Stability goal</x:v>
      </x:c>
      <x:c r="F27" s="57" t="str">
        <x:v>Improving joint or movement stability</x:v>
      </x:c>
      <x:c r="G27" s="57" t="str">
        <x:v>Active</x:v>
      </x:c>
    </x:row>
    <x:row r="28">
      <x:c r="A28" s="57" t="str">
        <x:v>TAG-TENSIONER</x:v>
      </x:c>
      <x:c r="B28" s="57" t="str">
        <x:v>Tensioner</x:v>
      </x:c>
      <x:c r="C28" s="57" t="str">
        <x:v>CAT-NEURODYNAMIC</x:v>
      </x:c>
      <x:c r="D28" s="57" t="str">
        <x:v>ND-T</x:v>
      </x:c>
      <x:c r="E28" s="57" t="str">
        <x:v>Neural tensioner</x:v>
      </x:c>
      <x:c r="F28" s="57" t="str">
        <x:v>Neural tensioning technique</x:v>
      </x:c>
      <x:c r="G28" s="57" t="str">
        <x:v>Active</x:v>
      </x:c>
    </x:row>
    <x:row r="29">
      <x:c r="A29" s="57" t="str">
        <x:v>TAG-THERAPIST</x:v>
      </x:c>
      <x:c r="B29" s="57" t="str">
        <x:v>Therapist</x:v>
      </x:c>
      <x:c r="C29" s="57" t="str">
        <x:v>CAT-BUS-CONT</x:v>
      </x:c>
      <x:c r="D29" s="57" t="str">
        <x:v>Therapist</x:v>
      </x:c>
      <x:c r="E29" s="57" t="str">
        <x:v>Clinician</x:v>
      </x:c>
      <x:c r="F29" s="57" t="str">
        <x:v>Therapist using Recovery Tools</x:v>
      </x:c>
      <x:c r="G29" s="57" t="str">
        <x:v>Active</x:v>
      </x:c>
    </x:row>
    <x:row r="30">
      <x:c r="A30" s="57" t="str">
        <x:v>TAG-ULNT</x:v>
      </x:c>
      <x:c r="B30" s="57" t="str">
        <x:v>ULNT</x:v>
      </x:c>
      <x:c r="C30" s="57" t="str">
        <x:v>CAT-TEST</x:v>
      </x:c>
      <x:c r="D30" s="57" t="str">
        <x:v>ULNT</x:v>
      </x:c>
      <x:c r="E30" s="57" t="str">
        <x:v>Upper limb neuro test</x:v>
      </x:c>
      <x:c r="F30" s="57" t="str">
        <x:v>Upper limb neurodynamic test</x:v>
      </x:c>
      <x:c r="G30" s="57" t="str">
        <x:v>Active</x:v>
      </x:c>
    </x:row>
    <x:row r="31">
      <x:c r="A31" s="57" t="str">
        <x:v>TAG-VEST</x:v>
      </x:c>
      <x:c r="B31" s="57" t="str">
        <x:v>Vestibular</x:v>
      </x:c>
      <x:c r="C31" s="57" t="str">
        <x:v>CAT-ART</x:v>
      </x:c>
      <x:c r="D31" s="57" t="str">
        <x:v>Vest</x:v>
      </x:c>
      <x:c r="E31" s="57" t="str">
        <x:v>Vestibular system</x:v>
      </x:c>
      <x:c r="F31" s="57" t="str">
        <x:v>Vestibular adaptation focus</x:v>
      </x:c>
      <x:c r="G31" s="57" t="str">
        <x:v>Active</x:v>
      </x:c>
    </x:row>
    <x:row r="32">
      <x:c r="A32" s="57" t="str">
        <x:v>TAG-WEBSITE</x:v>
      </x:c>
      <x:c r="B32" s="57" t="str">
        <x:v>Website</x:v>
      </x:c>
      <x:c r="C32" s="57" t="str">
        <x:v>CAT-BUS-CONT</x:v>
      </x:c>
      <x:c r="D32" s="57" t="str">
        <x:v>Web</x:v>
      </x:c>
      <x:c r="E32" s="57" t="str">
        <x:v>Site</x:v>
      </x:c>
      <x:c r="F32" s="57" t="str">
        <x:v>Recovery Tools Website</x:v>
      </x:c>
      <x:c r="G32" s="57" t="str">
        <x:v>Active</x:v>
      </x:c>
    </x:row>
  </x:sheetData>
  <x:dataValidations count="1">
    <x:dataValidation type="list" allowBlank="0" showDropDown="0" sqref="G2:G32">
      <x:formula1>"Active,Draft,Archived"</x:formula1>
    </x:dataValidation>
  </x:dataValidations>
  <x:pageMargins left="0.7" right="0.7" top="0.75" bottom="0.75" header="0.3" footer="0.3"/>
  <x:tableParts count="1">
    <x:tablePart xmlns:r="http://schemas.openxmlformats.org/officeDocument/2006/relationships" r:id="R6ecc9a5a63fe44d5"/>
  </x:tableParts>
</x:worksheet>
</file>

<file path=xl/worksheets/sheet5.xml><?xml version="1.0" encoding="utf-8"?>
<x:worksheet xmlns:x="http://schemas.openxmlformats.org/spreadsheetml/2006/main">
  <x:sheetFormatPr defaultColWidth="12.630000114440918" defaultRowHeight="15.75"/>
  <x:sheetData>
    <x:row r="1">
      <x:c r="A1" s="5" t="s">
        <x:v>213</x:v>
      </x:c>
      <x:c r="B1" s="5" t="s">
        <x:v>214</x:v>
      </x:c>
      <x:c r="C1" s="5" t="s">
        <x:v>215</x:v>
      </x:c>
      <x:c r="D1" s="5" t="s">
        <x:v>216</x:v>
      </x:c>
    </x:row>
    <x:row r="2">
      <x:c r="A2" s="1" t="s">
        <x:v>217</x:v>
      </x:c>
      <x:c r="B2" s="1" t="s">
        <x:v>218</x:v>
      </x:c>
      <x:c r="C2" s="1" t="s">
        <x:v>219</x:v>
      </x:c>
      <x:c r="D2" s="1" t="s">
        <x:v>220</x:v>
      </x:c>
    </x:row>
    <x:row r="3">
      <x:c r="A3" s="1" t="s">
        <x:v>221</x:v>
      </x:c>
      <x:c r="B3" s="1" t="s">
        <x:v>222</x:v>
      </x:c>
      <x:c r="C3" s="1" t="s">
        <x:v>223</x:v>
      </x:c>
      <x:c r="D3" s="1" t="s">
        <x:v>224</x:v>
      </x:c>
    </x:row>
    <x:row r="4">
      <x:c r="A4" s="1" t="s">
        <x:v>225</x:v>
      </x:c>
      <x:c r="B4" s="1" t="s">
        <x:v>226</x:v>
      </x:c>
      <x:c r="C4" s="1" t="s">
        <x:v>227</x:v>
      </x:c>
      <x:c r="D4" s="1" t="s">
        <x:v>228</x:v>
      </x:c>
    </x:row>
    <x:row r="5">
      <x:c r="A5" s="1" t="s">
        <x:v>229</x:v>
      </x:c>
      <x:c r="B5" s="1" t="s">
        <x:v>230</x:v>
      </x:c>
      <x:c r="C5" s="1" t="s">
        <x:v>231</x:v>
      </x:c>
      <x:c r="D5" s="1" t="s">
        <x:v>232</x:v>
      </x:c>
    </x:row>
    <x:row r="6">
      <x:c r="A6" s="1" t="s">
        <x:v>233</x:v>
      </x:c>
      <x:c r="B6" s="1" t="s">
        <x:v>234</x:v>
      </x:c>
      <x:c r="C6" s="1" t="s">
        <x:v>235</x:v>
      </x:c>
      <x:c r="D6" s="1" t="s">
        <x:v>236</x:v>
      </x:c>
    </x:row>
    <x:row r="7">
      <x:c r="A7" s="1" t="s">
        <x:v>237</x:v>
      </x:c>
      <x:c r="B7" s="1" t="s">
        <x:v>238</x:v>
      </x:c>
      <x:c r="C7" s="1" t="s">
        <x:v>239</x:v>
      </x:c>
      <x:c r="D7" s="1" t="s">
        <x:v>236</x:v>
      </x:c>
    </x:row>
    <x:row r="8">
      <x:c r="A8" s="1" t="s">
        <x:v>240</x:v>
      </x:c>
      <x:c r="B8" s="1" t="s">
        <x:v>241</x:v>
      </x:c>
      <x:c r="C8" s="1" t="s">
        <x:v>242</x:v>
      </x:c>
      <x:c r="D8" s="1" t="s">
        <x:v>243</x:v>
      </x:c>
    </x:row>
    <x:row r="9">
      <x:c r="A9" s="1" t="s">
        <x:v>244</x:v>
      </x:c>
      <x:c r="B9" s="1" t="s">
        <x:v>245</x:v>
      </x:c>
      <x:c r="C9" s="1" t="s">
        <x:v>246</x:v>
      </x:c>
      <x:c r="D9" s="1" t="s">
        <x:v>224</x:v>
      </x:c>
    </x:row>
    <x:row r="10">
      <x:c r="A10" s="1" t="s">
        <x:v>247</x:v>
      </x:c>
      <x:c r="B10" s="1" t="s">
        <x:v>248</x:v>
      </x:c>
      <x:c r="C10" s="1" t="s">
        <x:v>249</x:v>
      </x:c>
      <x:c r="D10" s="1" t="s">
        <x:v>243</x:v>
      </x:c>
    </x:row>
    <x:row r="11">
      <x:c r="A11" s="1" t="s">
        <x:v>250</x:v>
      </x:c>
      <x:c r="B11" s="1" t="s">
        <x:v>251</x:v>
      </x:c>
      <x:c r="C11" s="1" t="s">
        <x:v>252</x:v>
      </x:c>
      <x:c r="D11" s="1" t="s">
        <x:v>224</x:v>
      </x:c>
    </x:row>
    <x:row r="12">
      <x:c r="A12" s="1" t="s">
        <x:v>253</x:v>
      </x:c>
      <x:c r="B12" s="1" t="s">
        <x:v>254</x:v>
      </x:c>
      <x:c r="C12" s="1" t="s">
        <x:v>255</x:v>
      </x:c>
      <x:c r="D12" s="1" t="s">
        <x:v>220</x:v>
      </x:c>
    </x:row>
    <x:row r="13">
      <x:c r="A13" s="1" t="s">
        <x:v>256</x:v>
      </x:c>
      <x:c r="B13" s="1" t="s">
        <x:v>257</x:v>
      </x:c>
      <x:c r="C13" s="1" t="s">
        <x:v>258</x:v>
      </x:c>
      <x:c r="D13" s="1" t="s">
        <x:v>224</x:v>
      </x:c>
    </x:row>
    <x:row r="14">
      <x:c r="A14" s="1" t="s">
        <x:v>259</x:v>
      </x:c>
      <x:c r="B14" s="1" t="s">
        <x:v>260</x:v>
      </x:c>
      <x:c r="C14" s="1" t="s">
        <x:v>261</x:v>
      </x:c>
      <x:c r="D14" s="1" t="s">
        <x:v>262</x:v>
      </x:c>
    </x:row>
    <x:row r="15">
      <x:c r="A15" s="1" t="s">
        <x:v>263</x:v>
      </x:c>
      <x:c r="B15" s="1" t="s">
        <x:v>264</x:v>
      </x:c>
      <x:c r="C15" s="1" t="s">
        <x:v>265</x:v>
      </x:c>
      <x:c r="D15" s="1" t="s">
        <x:v>236</x:v>
      </x:c>
    </x:row>
    <x:row r="16">
      <x:c r="A16" s="1" t="s">
        <x:v>266</x:v>
      </x:c>
      <x:c r="B16" s="1" t="s">
        <x:v>267</x:v>
      </x:c>
      <x:c r="C16" s="1" t="s">
        <x:v>268</x:v>
      </x:c>
      <x:c r="D16" s="1" t="s">
        <x:v>269</x:v>
      </x:c>
    </x:row>
    <x:row r="17">
      <x:c r="A17" s="1" t="s">
        <x:v>270</x:v>
      </x:c>
      <x:c r="B17" s="1" t="s">
        <x:v>271</x:v>
      </x:c>
      <x:c r="C17" s="1" t="s">
        <x:v>272</x:v>
      </x:c>
      <x:c r="D17" s="1" t="s">
        <x:v>269</x:v>
      </x:c>
    </x:row>
    <x:row r="18">
      <x:c r="A18" s="1" t="s">
        <x:v>273</x:v>
      </x:c>
      <x:c r="B18" s="1" t="s">
        <x:v>274</x:v>
      </x:c>
      <x:c r="C18" s="1" t="s">
        <x:v>275</x:v>
      </x:c>
      <x:c r="D18" s="1" t="s">
        <x:v>228</x:v>
      </x:c>
    </x:row>
    <x:row r="19">
      <x:c r="A19" s="1" t="s">
        <x:v>276</x:v>
      </x:c>
      <x:c r="B19" s="1" t="s">
        <x:v>277</x:v>
      </x:c>
      <x:c r="C19" s="1" t="s">
        <x:v>278</x:v>
      </x:c>
      <x:c r="D19" s="1" t="s">
        <x:v>228</x:v>
      </x:c>
    </x:row>
    <x:row r="20">
      <x:c r="A20" s="1" t="s">
        <x:v>279</x:v>
      </x:c>
      <x:c r="B20" s="1" t="s">
        <x:v>280</x:v>
      </x:c>
      <x:c r="C20" s="1" t="s">
        <x:v>281</x:v>
      </x:c>
      <x:c r="D20" s="1" t="s">
        <x:v>258</x:v>
      </x:c>
    </x:row>
    <x:row r="21">
      <x:c r="A21" s="1" t="s">
        <x:v>282</x:v>
      </x:c>
      <x:c r="B21" s="1" t="s">
        <x:v>283</x:v>
      </x:c>
      <x:c r="C21" s="1" t="s">
        <x:v>284</x:v>
      </x:c>
      <x:c r="D21" s="1" t="s">
        <x:v>269</x:v>
      </x:c>
    </x:row>
    <x:row r="22">
      <x:c r="A22" s="1" t="s">
        <x:v>285</x:v>
      </x:c>
      <x:c r="B22" s="1" t="s">
        <x:v>286</x:v>
      </x:c>
      <x:c r="C22" s="1" t="s">
        <x:v>287</x:v>
      </x:c>
      <x:c r="D22" s="1" t="s">
        <x:v>262</x:v>
      </x:c>
    </x:row>
    <x:row r="23">
      <x:c r="A23" s="1" t="s">
        <x:v>288</x:v>
      </x:c>
      <x:c r="B23" s="1" t="s">
        <x:v>289</x:v>
      </x:c>
      <x:c r="C23" s="1" t="s">
        <x:v>290</x:v>
      </x:c>
      <x:c r="D23" s="1" t="s">
        <x:v>243</x:v>
      </x:c>
    </x:row>
    <x:row r="24">
      <x:c r="A24" s="1" t="s">
        <x:v>291</x:v>
      </x:c>
      <x:c r="B24" s="1" t="s">
        <x:v>292</x:v>
      </x:c>
      <x:c r="C24" s="1" t="s">
        <x:v>293</x:v>
      </x:c>
      <x:c r="D24" s="1" t="s">
        <x:v>220</x:v>
      </x:c>
    </x:row>
    <x:row r="25">
      <x:c r="A25" s="1" t="s">
        <x:v>294</x:v>
      </x:c>
      <x:c r="B25" s="1" t="s">
        <x:v>295</x:v>
      </x:c>
      <x:c r="C25" s="1" t="s">
        <x:v>220</x:v>
      </x:c>
      <x:c r="D25" s="1" t="s">
        <x:v>220</x:v>
      </x:c>
    </x:row>
    <x:row r="26">
      <x:c r="A26" s="1" t="s">
        <x:v>296</x:v>
      </x:c>
      <x:c r="B26" s="1" t="s">
        <x:v>297</x:v>
      </x:c>
      <x:c r="C26" s="1" t="s">
        <x:v>298</x:v>
      </x:c>
      <x:c r="D26" s="1" t="s">
        <x:v>262</x:v>
      </x:c>
    </x:row>
    <x:row r="27">
      <x:c r="A27" s="1" t="s">
        <x:v>299</x:v>
      </x:c>
      <x:c r="B27" s="1" t="s">
        <x:v>300</x:v>
      </x:c>
      <x:c r="C27" s="1" t="s">
        <x:v>301</x:v>
      </x:c>
      <x:c r="D27" s="1" t="s">
        <x:v>236</x:v>
      </x:c>
    </x:row>
    <x:row r="28">
      <x:c r="A28" s="1" t="s">
        <x:v>302</x:v>
      </x:c>
      <x:c r="B28" s="1" t="s">
        <x:v>303</x:v>
      </x:c>
      <x:c r="C28" s="1" t="s">
        <x:v>304</x:v>
      </x:c>
      <x:c r="D28" s="1" t="s">
        <x:v>236</x:v>
      </x:c>
    </x:row>
    <x:row r="29">
      <x:c r="A29" s="1" t="s">
        <x:v>305</x:v>
      </x:c>
      <x:c r="B29" s="1" t="s">
        <x:v>306</x:v>
      </x:c>
      <x:c r="C29" s="1" t="s">
        <x:v>307</x:v>
      </x:c>
      <x:c r="D29" s="1" t="s">
        <x:v>236</x:v>
      </x:c>
    </x:row>
    <x:row r="30">
      <x:c r="A30" s="1" t="s">
        <x:v>308</x:v>
      </x:c>
      <x:c r="B30" s="1" t="s">
        <x:v>309</x:v>
      </x:c>
      <x:c r="C30" s="1" t="s">
        <x:v>310</x:v>
      </x:c>
      <x:c r="D30" s="1" t="s">
        <x:v>224</x:v>
      </x:c>
    </x:row>
    <x:row r="31">
      <x:c r="A31" s="1" t="s">
        <x:v>311</x:v>
      </x:c>
      <x:c r="B31" s="1" t="s">
        <x:v>312</x:v>
      </x:c>
      <x:c r="C31" s="1" t="s">
        <x:v>313</x:v>
      </x:c>
      <x:c r="D31" s="1" t="s">
        <x:v>243</x:v>
      </x:c>
    </x:row>
    <x:row r="32">
      <x:c r="A32" s="3" t="s">
        <x:v>314</x:v>
      </x:c>
      <x:c r="B32" s="3" t="s">
        <x:v>315</x:v>
      </x:c>
      <x:c r="C32" s="3" t="s">
        <x:v>316</x:v>
      </x:c>
      <x:c r="D32" s="3" t="s">
        <x:v>317</x:v>
      </x:c>
    </x:row>
    <x:row r="33">
      <x:c r="A33" s="4" t="s">
        <x:v>318</x:v>
      </x:c>
      <x:c r="B33" s="4" t="s">
        <x:v>319</x:v>
      </x:c>
      <x:c r="C33" s="4" t="s">
        <x:v>320</x:v>
      </x:c>
      <x:c r="D33" s="4" t="s">
        <x:v>321</x:v>
      </x:c>
    </x:row>
    <x:row r="34">
      <x:c r="A34" s="3" t="s">
        <x:v>322</x:v>
      </x:c>
      <x:c r="B34" s="3" t="s">
        <x:v>323</x:v>
      </x:c>
      <x:c r="C34" s="3" t="s">
        <x:v>324</x:v>
      </x:c>
      <x:c r="D34" s="3" t="s">
        <x:v>325</x:v>
      </x:c>
    </x:row>
    <x:row r="35">
      <x:c r="A35" s="4" t="s">
        <x:v>326</x:v>
      </x:c>
      <x:c r="B35" s="4" t="s">
        <x:v>327</x:v>
      </x:c>
      <x:c r="C35" s="4" t="s">
        <x:v>328</x:v>
      </x:c>
      <x:c r="D35" s="4" t="s">
        <x:v>329</x:v>
      </x:c>
    </x:row>
    <x:row r="36">
      <x:c r="A36" s="3" t="s">
        <x:v>330</x:v>
      </x:c>
      <x:c r="B36" s="3" t="s">
        <x:v>331</x:v>
      </x:c>
      <x:c r="C36" s="3" t="s">
        <x:v>332</x:v>
      </x:c>
      <x:c r="D36" s="3" t="s">
        <x:v>243</x:v>
      </x:c>
    </x:row>
    <x:row r="37">
      <x:c r="A37" s="4" t="s">
        <x:v>333</x:v>
      </x:c>
      <x:c r="B37" s="4" t="s">
        <x:v>334</x:v>
      </x:c>
      <x:c r="C37" s="4" t="s">
        <x:v>335</x:v>
      </x:c>
      <x:c r="D37" s="4" t="s">
        <x:v>220</x:v>
      </x:c>
    </x:row>
    <x:row r="38">
      <x:c r="A38" s="3" t="s">
        <x:v>336</x:v>
      </x:c>
      <x:c r="B38" s="3" t="s">
        <x:v>337</x:v>
      </x:c>
      <x:c r="C38" s="3" t="s">
        <x:v>338</x:v>
      </x:c>
      <x:c r="D38" s="3" t="s">
        <x:v>243</x:v>
      </x:c>
    </x:row>
    <x:row r="39">
      <x:c r="A39" s="4" t="s">
        <x:v>339</x:v>
      </x:c>
      <x:c r="B39" s="4" t="s">
        <x:v>340</x:v>
      </x:c>
      <x:c r="C39" s="4" t="s">
        <x:v>341</x:v>
      </x:c>
      <x:c r="D39" s="4" t="s">
        <x:v>243</x:v>
      </x:c>
    </x:row>
    <x:row r="40">
      <x:c r="A40" s="3" t="s">
        <x:v>342</x:v>
      </x:c>
      <x:c r="B40" s="3" t="s">
        <x:v>343</x:v>
      </x:c>
      <x:c r="C40" s="3" t="s">
        <x:v>344</x:v>
      </x:c>
      <x:c r="D40" s="3" t="s">
        <x:v>220</x:v>
      </x:c>
    </x:row>
    <x:row r="41">
      <x:c r="A41" s="4" t="s">
        <x:v>345</x:v>
      </x:c>
      <x:c r="B41" s="4" t="s">
        <x:v>346</x:v>
      </x:c>
      <x:c r="C41" s="4" t="s">
        <x:v>347</x:v>
      </x:c>
      <x:c r="D41" s="4" t="s">
        <x:v>224</x:v>
      </x:c>
    </x:row>
    <x:row r="42">
      <x:c r="A42" s="3" t="s">
        <x:v>348</x:v>
      </x:c>
      <x:c r="B42" s="3" t="s">
        <x:v>349</x:v>
      </x:c>
      <x:c r="C42" s="3" t="s">
        <x:v>350</x:v>
      </x:c>
      <x:c r="D42" s="3" t="s">
        <x:v>224</x:v>
      </x:c>
    </x:row>
    <x:row r="43">
      <x:c r="A43" s="4" t="s">
        <x:v>351</x:v>
      </x:c>
      <x:c r="B43" s="4" t="s">
        <x:v>352</x:v>
      </x:c>
      <x:c r="C43" s="4" t="s">
        <x:v>353</x:v>
      </x:c>
      <x:c r="D43" s="4" t="s">
        <x:v>224</x:v>
      </x:c>
    </x:row>
    <x:row r="44">
      <x:c r="A44" s="3" t="s">
        <x:v>354</x:v>
      </x:c>
      <x:c r="B44" s="3" t="s">
        <x:v>355</x:v>
      </x:c>
      <x:c r="C44" s="3" t="s">
        <x:v>356</x:v>
      </x:c>
      <x:c r="D44" s="3" t="s">
        <x:v>224</x:v>
      </x:c>
    </x:row>
    <x:row r="45">
      <x:c r="A45" s="4" t="s">
        <x:v>357</x:v>
      </x:c>
      <x:c r="B45" s="4" t="s">
        <x:v>358</x:v>
      </x:c>
      <x:c r="C45" s="4" t="s">
        <x:v>359</x:v>
      </x:c>
      <x:c r="D45" s="4" t="s">
        <x:v>224</x:v>
      </x:c>
    </x:row>
    <x:row r="46">
      <x:c r="A46" s="3" t="s">
        <x:v>360</x:v>
      </x:c>
      <x:c r="B46" s="3" t="s">
        <x:v>361</x:v>
      </x:c>
      <x:c r="C46" s="3" t="s">
        <x:v>362</x:v>
      </x:c>
      <x:c r="D46" s="3" t="s">
        <x:v>363</x:v>
      </x:c>
    </x:row>
    <x:row r="47">
      <x:c r="A47" s="4" t="s">
        <x:v>364</x:v>
      </x:c>
      <x:c r="B47" s="4" t="s">
        <x:v>365</x:v>
      </x:c>
      <x:c r="C47" s="4" t="s">
        <x:v>366</x:v>
      </x:c>
      <x:c r="D47" s="4" t="s">
        <x:v>224</x:v>
      </x:c>
    </x:row>
    <x:row r="48">
      <x:c r="A48" s="3" t="s">
        <x:v>367</x:v>
      </x:c>
      <x:c r="B48" s="3" t="s">
        <x:v>368</x:v>
      </x:c>
      <x:c r="C48" s="3" t="s">
        <x:v>369</x:v>
      </x:c>
      <x:c r="D48" s="3" t="s">
        <x:v>363</x:v>
      </x:c>
    </x:row>
  </x:sheetData>
  <x:pageMargins left="0.7" right="0.7" top="0.75" bottom="0.75" header="0.3" footer="0.3"/>
  <x:tableParts count="1">
    <x:tablePart xmlns:r="http://schemas.openxmlformats.org/officeDocument/2006/relationships" r:id="R546118e3f9014a1b"/>
  </x:tableParts>
</x:worksheet>
</file>

<file path=xl/worksheets/sheet6.xml><?xml version="1.0" encoding="utf-8"?>
<x:worksheet xmlns:x="http://schemas.openxmlformats.org/spreadsheetml/2006/main">
  <x:sheetFormatPr defaultColWidth="12.630000114440918" defaultRowHeight="15.75"/>
  <x:sheetData>
    <x:row r="1">
      <x:c r="A1" s="1" t="s">
        <x:v>216</x:v>
      </x:c>
      <x:c r="B1" s="1" t="s">
        <x:v>370</x:v>
      </x:c>
      <x:c r="C1" s="1" t="s">
        <x:v>371</x:v>
      </x:c>
      <x:c r="D1" s="1" t="s">
        <x:v>137</x:v>
      </x:c>
    </x:row>
    <x:row r="2">
      <x:c r="A2" s="1" t="s">
        <x:v>372</x:v>
      </x:c>
      <x:c r="B2" s="1" t="s">
        <x:v>373</x:v>
      </x:c>
      <x:c r="C2" s="1" t="s">
        <x:v>374</x:v>
      </x:c>
    </x:row>
    <x:row r="3">
      <x:c r="A3" s="1" t="s">
        <x:v>375</x:v>
      </x:c>
      <x:c r="B3" s="1" t="s">
        <x:v>376</x:v>
      </x:c>
      <x:c r="C3" s="1" t="s">
        <x:v>377</x:v>
      </x:c>
    </x:row>
    <x:row r="4">
      <x:c r="A4" s="1" t="s">
        <x:v>378</x:v>
      </x:c>
      <x:c r="B4" s="1" t="s">
        <x:v>321</x:v>
      </x:c>
      <x:c r="C4" s="1" t="s">
        <x:v>234</x:v>
      </x:c>
    </x:row>
    <x:row r="5">
      <x:c r="A5" s="1" t="s">
        <x:v>379</x:v>
      </x:c>
      <x:c r="B5" s="1" t="s">
        <x:v>220</x:v>
      </x:c>
      <x:c r="C5" s="1" t="s">
        <x:v>380</x:v>
      </x:c>
    </x:row>
    <x:row r="6">
      <x:c r="A6" s="1" t="s">
        <x:v>381</x:v>
      </x:c>
      <x:c r="B6" s="1" t="s">
        <x:v>224</x:v>
      </x:c>
      <x:c r="C6" s="1" t="s">
        <x:v>382</x:v>
      </x:c>
    </x:row>
    <x:row r="7">
      <x:c r="A7" s="1" t="s">
        <x:v>383</x:v>
      </x:c>
      <x:c r="B7" s="1" t="s">
        <x:v>232</x:v>
      </x:c>
      <x:c r="C7" s="1" t="s">
        <x:v>384</x:v>
      </x:c>
    </x:row>
    <x:row r="8">
      <x:c r="A8" s="1" t="s">
        <x:v>385</x:v>
      </x:c>
      <x:c r="B8" s="1" t="s">
        <x:v>386</x:v>
      </x:c>
      <x:c r="C8" s="1" t="s">
        <x:v>386</x:v>
      </x:c>
    </x:row>
    <x:row r="9">
      <x:c r="A9" s="1" t="s">
        <x:v>387</x:v>
      </x:c>
      <x:c r="B9" s="1" t="s">
        <x:v>258</x:v>
      </x:c>
      <x:c r="C9" s="1" t="s">
        <x:v>258</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388</x:v>
      </x:c>
      <x:c r="B1" s="1" t="s">
        <x:v>389</x:v>
      </x:c>
      <x:c r="C1" s="1" t="s">
        <x:v>214</x:v>
      </x:c>
    </x:row>
    <x:row r="2">
      <x:c r="A2" s="1" t="s">
        <x:v>390</x:v>
      </x:c>
      <x:c r="B2" s="1" t="s">
        <x:v>391</x:v>
      </x:c>
      <x:c r="C2" s="1" t="s">
        <x:v>392</x:v>
      </x:c>
    </x:row>
    <x:row r="3">
      <x:c r="A3" s="1" t="s">
        <x:v>393</x:v>
      </x:c>
      <x:c r="B3" s="1" t="s">
        <x:v>394</x:v>
      </x:c>
      <x:c r="C3" s="1" t="s">
        <x:v>395</x:v>
      </x:c>
    </x:row>
    <x:row r="4">
      <x:c r="A4" s="1" t="s">
        <x:v>396</x:v>
      </x:c>
      <x:c r="B4" s="1" t="s">
        <x:v>397</x:v>
      </x:c>
      <x:c r="C4" s="1" t="s">
        <x:v>398</x:v>
      </x:c>
    </x:row>
    <x:row r="5">
      <x:c r="A5" s="1" t="s">
        <x:v>399</x:v>
      </x:c>
      <x:c r="B5" s="1" t="s">
        <x:v>400</x:v>
      </x:c>
      <x:c r="C5" s="1" t="s">
        <x:v>401</x:v>
      </x:c>
    </x:row>
    <x:row r="6">
      <x:c r="A6" s="1" t="s">
        <x:v>402</x:v>
      </x:c>
      <x:c r="B6" s="1" t="s">
        <x:v>403</x:v>
      </x:c>
      <x:c r="C6" s="1" t="s">
        <x:v>404</x:v>
      </x:c>
    </x:row>
    <x:row r="7">
      <x:c r="A7" s="1" t="s">
        <x:v>405</x:v>
      </x:c>
      <x:c r="B7" s="1" t="s">
        <x:v>406</x:v>
      </x:c>
      <x:c r="C7" s="1" t="s">
        <x:v>407</x:v>
      </x:c>
    </x:row>
    <x:row r="8">
      <x:c r="A8" s="1" t="s">
        <x:v>408</x:v>
      </x:c>
      <x:c r="B8" s="1" t="s">
        <x:v>409</x:v>
      </x:c>
      <x:c r="C8" s="1" t="s">
        <x:v>410</x:v>
      </x:c>
    </x:row>
    <x:row r="9">
      <x:c r="A9" s="1" t="s">
        <x:v>411</x:v>
      </x:c>
      <x:c r="B9" s="1" t="s">
        <x:v>412</x:v>
      </x:c>
      <x:c r="C9" s="1" t="s">
        <x:v>413</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5" max="5" width="17.1299991607666" customWidth="1"/>
    <x:col min="6" max="6" width="15.380000114440918" customWidth="1"/>
  </x:cols>
  <x:sheetData>
    <x:row r="1">
      <x:c r="A1" s="1" t="s">
        <x:v>414</x:v>
      </x:c>
      <x:c r="B1" s="1" t="s">
        <x:v>415</x:v>
      </x:c>
      <x:c r="C1" s="1" t="s">
        <x:v>216</x:v>
      </x:c>
      <x:c r="D1" s="1" t="s">
        <x:v>388</x:v>
      </x:c>
      <x:c r="E1" s="1" t="s">
        <x:v>416</x:v>
      </x:c>
      <x:c r="F1" s="1" t="s">
        <x:v>417</x:v>
      </x:c>
      <x:c r="G1" s="1" t="s">
        <x:v>418</x:v>
      </x:c>
      <x:c r="H1" s="1" t="s">
        <x:v>419</x:v>
      </x:c>
      <x:c r="I1" s="1" t="s">
        <x:v>420</x:v>
      </x:c>
    </x:row>
    <x:row r="2">
      <x:c r="A2" s="1" t="s">
        <x:v>421</x:v>
      </x:c>
      <x:c r="B2" s="1" t="s">
        <x:v>422</x:v>
      </x:c>
      <x:c r="C2" s="1" t="s">
        <x:v>423</x:v>
      </x:c>
      <x:c r="D2" s="1" t="s">
        <x:v>391</x:v>
      </x:c>
      <x:c r="H2" s="1" t="s">
        <x:v>424</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1" t="s">
        <x:v>425</x:v>
      </x:c>
      <x:c r="B1" s="1" t="s">
        <x:v>426</x:v>
      </x:c>
      <x:c r="C1" s="1" t="s">
        <x:v>427</x:v>
      </x:c>
      <x:c r="D1" s="1" t="s">
        <x:v>414</x:v>
      </x:c>
      <x:c r="E1" s="1" t="s">
        <x:v>428</x:v>
      </x:c>
      <x:c r="F1" s="1" t="s">
        <x:v>429</x:v>
      </x:c>
      <x:c r="G1" s="1" t="s">
        <x:v>430</x:v>
      </x:c>
      <x:c r="H1" s="1" t="s">
        <x:v>431</x:v>
      </x:c>
      <x:c r="I1" s="1" t="s">
        <x:v>432</x:v>
      </x:c>
      <x:c r="J1" s="1" t="s">
        <x:v>433</x:v>
      </x:c>
      <x:c r="K1" s="1" t="s">
        <x:v>137</x:v>
      </x:c>
      <x:c r="L1" s="1" t="s">
        <x:v>420</x:v>
      </x:c>
    </x:row>
    <x:row r="2">
      <x:c r="A2" s="1" t="s">
        <x:v>434</x:v>
      </x:c>
      <x:c r="B2" s="1"/>
      <x:c r="C2" s="1"/>
      <x:c r="D2" s="1"/>
      <x:c r="E2" s="1" t="s">
        <x:v>435</x:v>
      </x:c>
      <x:c r="F2" s="1" t="s">
        <x:v>436</x:v>
      </x:c>
      <x:c r="I2" s="1" t="s">
        <x:v>437</x:v>
      </x:c>
    </x:row>
    <x:row r="3">
      <x:c r="A3" s="1" t="s">
        <x:v>438</x:v>
      </x:c>
      <x:c r="B3" s="1"/>
      <x:c r="C3" s="1"/>
      <x:c r="D3" s="1"/>
      <x:c r="E3" s="1" t="s">
        <x:v>439</x:v>
      </x:c>
      <x:c r="F3" s="1" t="s">
        <x:v>436</x:v>
      </x:c>
      <x:c r="I3" s="1" t="s">
        <x:v>440</x:v>
      </x:c>
    </x:row>
    <x:row r="4">
      <x:c r="A4" s="1" t="s">
        <x:v>441</x:v>
      </x:c>
      <x:c r="B4" s="1"/>
      <x:c r="C4" s="1"/>
      <x:c r="D4" s="1"/>
      <x:c r="E4" s="1" t="s">
        <x:v>442</x:v>
      </x:c>
      <x:c r="F4" s="1" t="s">
        <x:v>443</x:v>
      </x:c>
      <x:c r="I4" s="1" t="s">
        <x:v>444</x:v>
      </x:c>
    </x:row>
    <x:row r="5">
      <x:c r="I5" s="1" t="s">
        <x:v>445</x:v>
      </x:c>
    </x:row>
    <x:row r="25">
      <x:c r="H25" s="1"/>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sheetData>
    <x:row r="1">
      <x:c r="A1" s="1" t="s">
        <x:v>446</x:v>
      </x:c>
      <x:c r="B1" s="1" t="s">
        <x:v>447</x:v>
      </x:c>
      <x:c r="C1" s="1" t="s">
        <x:v>448</x:v>
      </x:c>
      <x:c r="D1" s="1" t="s">
        <x:v>449</x:v>
      </x:c>
      <x:c r="E1" s="1" t="s">
        <x:v>450</x:v>
      </x:c>
      <x:c r="F1" s="1" t="s">
        <x:v>451</x:v>
      </x:c>
      <x:c r="G1" s="1" t="s">
        <x:v>452</x:v>
      </x:c>
      <x:c r="H1" s="1" t="s">
        <x:v>453</x:v>
      </x:c>
      <x:c r="I1" s="1" t="s">
        <x:v>454</x:v>
      </x:c>
      <x:c r="J1" s="1" t="s">
        <x:v>137</x:v>
      </x:c>
    </x:row>
    <x:row r="2">
      <x:c r="A2" s="1" t="s">
        <x:v>455</x:v>
      </x:c>
      <x:c r="B2" s="1" t="s">
        <x:v>456</x:v>
      </x:c>
    </x:row>
    <x:row r="3">
      <x:c r="A3" s="1" t="s">
        <x:v>457</x:v>
      </x:c>
      <x:c r="B3" s="1" t="s">
        <x:v>458</x:v>
      </x:c>
    </x:row>
    <x:row r="4">
      <x:c r="A4" s="1" t="s">
        <x:v>459</x:v>
      </x:c>
      <x:c r="B4" s="1" t="s">
        <x:v>460</x:v>
      </x:c>
    </x:row>
    <x:row r="5">
      <x:c r="A5" s="1" t="s">
        <x:v>461</x:v>
      </x:c>
      <x:c r="B5" s="1" t="s">
        <x:v>462</x:v>
      </x:c>
    </x:row>
    <x:row r="6">
      <x:c r="A6" s="1" t="s">
        <x:v>463</x:v>
      </x:c>
      <x:c r="B6" s="1" t="s">
        <x:v>464</x:v>
      </x:c>
    </x:row>
    <x:row r="7">
      <x:c r="A7" s="1" t="s">
        <x:v>465</x:v>
      </x:c>
      <x:c r="B7" s="1" t="s">
        <x:v>466</x:v>
      </x:c>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467</x:v>
      </x:c>
      <x:c r="B1" s="1" t="s">
        <x:v>468</x:v>
      </x:c>
      <x:c r="C1" s="1" t="s">
        <x:v>214</x:v>
      </x:c>
    </x:row>
    <x:row r="2">
      <x:c r="A2" s="1" t="s">
        <x:v>469</x:v>
      </x:c>
      <x:c r="B2" s="1" t="s">
        <x:v>470</x:v>
      </x:c>
      <x:c r="C2" s="1" t="s">
        <x:v>471</x:v>
      </x:c>
    </x:row>
    <x:row r="3">
      <x:c r="A3" s="1" t="s">
        <x:v>472</x:v>
      </x:c>
      <x:c r="B3" s="1" t="s">
        <x:v>473</x:v>
      </x:c>
      <x:c r="C3" s="6">
        <x:v>46357.0</x:v>
      </x:c>
    </x:row>
    <x:row r="4">
      <x:c r="A4" s="1" t="s">
        <x:v>474</x:v>
      </x:c>
      <x:c r="B4" s="1" t="s">
        <x:v>475</x:v>
      </x:c>
      <x:c r="C4" s="1" t="s">
        <x:v>476</x:v>
      </x:c>
    </x:row>
    <x:row r="5">
      <x:c r="A5" s="1" t="s">
        <x:v>477</x:v>
      </x:c>
      <x:c r="B5" s="1" t="s">
        <x:v>478</x:v>
      </x:c>
      <x:c r="C5" s="6">
        <x:v>46362.0</x:v>
      </x:c>
    </x:row>
    <x:row r="6">
      <x:c r="A6" s="1" t="s">
        <x:v>479</x:v>
      </x:c>
      <x:c r="B6" s="1" t="s">
        <x:v>480</x:v>
      </x:c>
      <x:c r="C6" s="1" t="s">
        <x:v>481</x:v>
      </x:c>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sheetData>
    <x:row r="1">
      <x:c r="A1" s="5" t="s">
        <x:v>482</x:v>
      </x:c>
      <x:c r="B1" s="5" t="s">
        <x:v>483</x:v>
      </x:c>
      <x:c r="C1" s="5" t="s">
        <x:v>215</x:v>
      </x:c>
    </x:row>
    <x:row r="2">
      <x:c r="A2" s="1" t="s">
        <x:v>484</x:v>
      </x:c>
      <x:c r="B2" s="1" t="s">
        <x:v>485</x:v>
      </x:c>
      <x:c r="C2" s="1" t="s">
        <x:v>486</x:v>
      </x:c>
    </x:row>
    <x:row r="3">
      <x:c r="A3" s="1" t="s">
        <x:v>487</x:v>
      </x:c>
      <x:c r="B3" s="1" t="s">
        <x:v>488</x:v>
      </x:c>
      <x:c r="C3" s="1" t="s">
        <x:v>489</x:v>
      </x:c>
    </x:row>
    <x:row r="4">
      <x:c r="A4" s="1" t="s">
        <x:v>490</x:v>
      </x:c>
      <x:c r="B4" s="1" t="s">
        <x:v>491</x:v>
      </x:c>
      <x:c r="C4" s="1" t="s">
        <x:v>492</x:v>
      </x:c>
    </x:row>
    <x:row r="5">
      <x:c r="A5" s="1" t="s">
        <x:v>493</x:v>
      </x:c>
      <x:c r="B5" s="1" t="s">
        <x:v>494</x:v>
      </x:c>
      <x:c r="C5" s="1" t="s">
        <x:v>495</x:v>
      </x:c>
    </x:row>
    <x:row r="6">
      <x:c r="A6" s="1" t="s">
        <x:v>496</x:v>
      </x:c>
      <x:c r="B6" s="1" t="s">
        <x:v>497</x:v>
      </x:c>
      <x:c r="C6" s="1" t="s">
        <x:v>498</x:v>
      </x:c>
    </x:row>
    <x:row r="7">
      <x:c r="A7" s="1" t="s">
        <x:v>499</x:v>
      </x:c>
      <x:c r="B7" s="1" t="s">
        <x:v>500</x:v>
      </x:c>
      <x:c r="C7" s="1" t="s">
        <x:v>501</x:v>
      </x:c>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sheetData>
    <x:row r="1">
      <x:c r="A1" s="5" t="s">
        <x:v>502</x:v>
      </x:c>
      <x:c r="B1" s="5" t="s">
        <x:v>483</x:v>
      </x:c>
      <x:c r="C1" s="5" t="s">
        <x:v>215</x:v>
      </x:c>
    </x:row>
    <x:row r="2">
      <x:c r="A2" s="1" t="s">
        <x:v>503</x:v>
      </x:c>
      <x:c r="B2" s="1" t="s">
        <x:v>504</x:v>
      </x:c>
      <x:c r="C2" s="1" t="s">
        <x:v>505</x:v>
      </x:c>
    </x:row>
    <x:row r="3">
      <x:c r="A3" s="1" t="s">
        <x:v>506</x:v>
      </x:c>
      <x:c r="B3" s="1" t="s">
        <x:v>507</x:v>
      </x:c>
      <x:c r="C3" s="1" t="s">
        <x:v>508</x:v>
      </x:c>
    </x:row>
    <x:row r="4">
      <x:c r="A4" s="1" t="s">
        <x:v>509</x:v>
      </x:c>
      <x:c r="B4" s="1" t="s">
        <x:v>510</x:v>
      </x:c>
      <x:c r="C4" s="1" t="s">
        <x:v>511</x:v>
      </x:c>
    </x:row>
    <x:row r="5">
      <x:c r="A5" s="1" t="s">
        <x:v>512</x:v>
      </x:c>
      <x:c r="B5" s="1" t="s">
        <x:v>513</x:v>
      </x:c>
      <x:c r="C5" s="1" t="s">
        <x:v>514</x:v>
      </x:c>
    </x:row>
    <x:row r="6">
      <x:c r="A6" s="1" t="s">
        <x:v>515</x:v>
      </x:c>
      <x:c r="B6" s="1" t="s">
        <x:v>516</x:v>
      </x:c>
      <x:c r="C6" s="1" t="s">
        <x:v>517</x:v>
      </x:c>
    </x:row>
    <x:row r="7">
      <x:c r="A7" s="1" t="s">
        <x:v>518</x:v>
      </x:c>
      <x:c r="B7" s="1" t="s">
        <x:v>519</x:v>
      </x:c>
      <x:c r="C7" s="1" t="s">
        <x:v>520</x:v>
      </x:c>
    </x:row>
    <x:row r="8">
      <x:c r="A8" s="1" t="s">
        <x:v>521</x:v>
      </x:c>
      <x:c r="B8" s="1" t="s">
        <x:v>522</x:v>
      </x:c>
      <x:c r="C8" s="1" t="s">
        <x:v>523</x:v>
      </x:c>
    </x:row>
    <x:row r="9">
      <x:c r="A9" s="1" t="s">
        <x:v>524</x:v>
      </x:c>
      <x:c r="B9" s="1" t="s">
        <x:v>525</x:v>
      </x:c>
      <x:c r="C9" s="1" t="s">
        <x:v>526</x:v>
      </x:c>
    </x:row>
    <x:row r="10">
      <x:c r="A10" s="1" t="s">
        <x:v>527</x:v>
      </x:c>
      <x:c r="B10" s="1" t="s">
        <x:v>528</x:v>
      </x:c>
      <x:c r="C10" s="1" t="s">
        <x:v>529</x:v>
      </x:c>
    </x:row>
    <x:row r="11">
      <x:c r="A11" s="1" t="s">
        <x:v>530</x:v>
      </x:c>
      <x:c r="B11" s="1" t="s">
        <x:v>531</x:v>
      </x:c>
      <x:c r="C11" s="1" t="s">
        <x:v>532</x:v>
      </x:c>
    </x:row>
    <x:row r="12">
      <x:c r="A12" s="1" t="s">
        <x:v>533</x:v>
      </x:c>
      <x:c r="B12" s="1" t="s">
        <x:v>534</x:v>
      </x:c>
      <x:c r="C12" s="1" t="s">
        <x:v>535</x:v>
      </x:c>
    </x:row>
    <x:row r="13">
      <x:c r="A13" s="1" t="s">
        <x:v>536</x:v>
      </x:c>
      <x:c r="B13" s="1" t="s">
        <x:v>537</x:v>
      </x:c>
      <x:c r="C13" s="1" t="s">
        <x:v>538</x:v>
      </x:c>
    </x:row>
    <x:row r="14">
      <x:c r="A14" s="1" t="s">
        <x:v>539</x:v>
      </x:c>
      <x:c r="B14" s="1" t="s">
        <x:v>540</x:v>
      </x:c>
      <x:c r="C14" s="1" t="s">
        <x:v>541</x:v>
      </x:c>
    </x:row>
    <x:row r="15">
      <x:c r="A15" s="1" t="s">
        <x:v>542</x:v>
      </x:c>
      <x:c r="B15" s="1" t="s">
        <x:v>543</x:v>
      </x:c>
      <x:c r="C15" s="1" t="s">
        <x:v>544</x:v>
      </x:c>
    </x:row>
    <x:row r="16">
      <x:c r="A16" s="1" t="s">
        <x:v>545</x:v>
      </x:c>
      <x:c r="B16" s="1" t="s">
        <x:v>546</x:v>
      </x:c>
      <x:c r="C16" s="1" t="s">
        <x:v>547</x:v>
      </x:c>
    </x:row>
    <x:row r="17">
      <x:c r="A17" s="1" t="s">
        <x:v>548</x:v>
      </x:c>
      <x:c r="B17" s="1" t="s">
        <x:v>549</x:v>
      </x:c>
      <x:c r="C17" s="1" t="s">
        <x:v>550</x:v>
      </x:c>
    </x:row>
    <x:row r="18">
      <x:c r="A18" s="1" t="s">
        <x:v>551</x:v>
      </x:c>
      <x:c r="B18" s="1" t="s">
        <x:v>552</x:v>
      </x:c>
      <x:c r="C18" s="1" t="s">
        <x:v>553</x:v>
      </x:c>
    </x:row>
    <x:row r="19">
      <x:c r="A19" s="1" t="s">
        <x:v>554</x:v>
      </x:c>
      <x:c r="B19" s="1" t="s">
        <x:v>555</x:v>
      </x:c>
      <x:c r="C19" s="1" t="s">
        <x:v>556</x:v>
      </x:c>
    </x:row>
    <x:row r="20">
      <x:c r="A20" s="1" t="s">
        <x:v>557</x:v>
      </x:c>
      <x:c r="B20" s="1" t="s">
        <x:v>558</x:v>
      </x:c>
      <x:c r="C20" s="1" t="s">
        <x:v>559</x:v>
      </x:c>
    </x:row>
    <x:row r="21">
      <x:c r="A21" s="1" t="s">
        <x:v>560</x:v>
      </x:c>
      <x:c r="B21" s="1" t="s">
        <x:v>561</x:v>
      </x:c>
      <x:c r="C21" s="1" t="s">
        <x:v>562</x:v>
      </x:c>
    </x:row>
    <x:row r="22">
      <x:c r="A22" s="1" t="s">
        <x:v>563</x:v>
      </x:c>
      <x:c r="B22" s="1" t="s">
        <x:v>564</x:v>
      </x:c>
      <x:c r="C22" s="1" t="s">
        <x:v>565</x:v>
      </x:c>
    </x:row>
    <x:row r="23">
      <x:c r="A23" s="1" t="s">
        <x:v>566</x:v>
      </x:c>
      <x:c r="B23" s="1" t="s">
        <x:v>567</x:v>
      </x:c>
      <x:c r="C23" s="1" t="s">
        <x:v>568</x:v>
      </x:c>
    </x:row>
    <x:row r="24">
      <x:c r="A24" s="1" t="s">
        <x:v>569</x:v>
      </x:c>
      <x:c r="B24" s="1" t="s">
        <x:v>570</x:v>
      </x:c>
      <x:c r="C24" s="1" t="s">
        <x:v>571</x:v>
      </x:c>
    </x:row>
    <x:row r="25">
      <x:c r="A25" s="1" t="s">
        <x:v>572</x:v>
      </x:c>
      <x:c r="B25" s="1" t="s">
        <x:v>573</x:v>
      </x:c>
      <x:c r="C25" s="1" t="s">
        <x:v>574</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sheetData>
    <x:row r="1">
      <x:c r="A1" s="5" t="s">
        <x:v>575</x:v>
      </x:c>
      <x:c r="B1" s="5" t="s">
        <x:v>483</x:v>
      </x:c>
      <x:c r="C1" s="5" t="s">
        <x:v>215</x:v>
      </x:c>
    </x:row>
    <x:row r="2">
      <x:c r="A2" s="1" t="s">
        <x:v>576</x:v>
      </x:c>
      <x:c r="B2" s="1" t="s">
        <x:v>577</x:v>
      </x:c>
      <x:c r="C2" s="1" t="s">
        <x:v>578</x:v>
      </x:c>
    </x:row>
    <x:row r="3">
      <x:c r="A3" s="1" t="s">
        <x:v>579</x:v>
      </x:c>
      <x:c r="B3" s="1" t="s">
        <x:v>580</x:v>
      </x:c>
      <x:c r="C3" s="1" t="s">
        <x:v>581</x:v>
      </x:c>
    </x:row>
    <x:row r="4">
      <x:c r="A4" s="1" t="s">
        <x:v>582</x:v>
      </x:c>
      <x:c r="B4" s="1" t="s">
        <x:v>583</x:v>
      </x:c>
      <x:c r="C4" s="1" t="s">
        <x:v>584</x:v>
      </x:c>
    </x:row>
    <x:row r="5">
      <x:c r="A5" s="1" t="s">
        <x:v>585</x:v>
      </x:c>
      <x:c r="B5" s="1" t="s">
        <x:v>586</x:v>
      </x:c>
      <x:c r="C5" s="1" t="s">
        <x:v>587</x:v>
      </x:c>
    </x:row>
    <x:row r="6">
      <x:c r="A6" s="1" t="s">
        <x:v>588</x:v>
      </x:c>
      <x:c r="B6" s="1" t="s">
        <x:v>589</x:v>
      </x:c>
      <x:c r="C6" s="1" t="s">
        <x:v>590</x:v>
      </x:c>
    </x:row>
    <x:row r="7">
      <x:c r="A7" s="1" t="s">
        <x:v>591</x:v>
      </x:c>
      <x:c r="B7" s="1" t="s">
        <x:v>592</x:v>
      </x:c>
      <x:c r="C7" s="1" t="s">
        <x:v>593</x:v>
      </x:c>
    </x:row>
    <x:row r="8">
      <x:c r="A8" s="1" t="s">
        <x:v>594</x:v>
      </x:c>
      <x:c r="B8" s="1" t="s">
        <x:v>595</x:v>
      </x:c>
      <x:c r="C8" s="1" t="s">
        <x:v>596</x:v>
      </x:c>
    </x:row>
    <x:row r="9">
      <x:c r="A9" s="1" t="s">
        <x:v>597</x:v>
      </x:c>
      <x:c r="B9" s="1" t="s">
        <x:v>598</x:v>
      </x:c>
      <x:c r="C9" s="1" t="s">
        <x:v>599</x:v>
      </x:c>
    </x:row>
    <x:row r="10">
      <x:c r="A10" s="1" t="s">
        <x:v>600</x:v>
      </x:c>
      <x:c r="B10" s="1" t="s">
        <x:v>601</x:v>
      </x:c>
      <x:c r="C10" s="1" t="s">
        <x:v>602</x:v>
      </x:c>
    </x:row>
    <x:row r="11">
      <x:c r="A11" s="1" t="s">
        <x:v>603</x:v>
      </x:c>
      <x:c r="B11" s="1" t="s">
        <x:v>604</x:v>
      </x:c>
      <x:c r="C11" s="1" t="s">
        <x:v>605</x:v>
      </x:c>
    </x:row>
    <x:row r="12">
      <x:c r="A12" s="1" t="s">
        <x:v>606</x:v>
      </x:c>
      <x:c r="B12" s="1" t="s">
        <x:v>607</x:v>
      </x:c>
      <x:c r="C12" s="1" t="s">
        <x:v>608</x:v>
      </x:c>
    </x:row>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75"/>
  <x:sheetData>
    <x:row r="1">
      <x:c r="A1" s="5" t="s">
        <x:v>609</x:v>
      </x:c>
      <x:c r="B1" s="5" t="s">
        <x:v>483</x:v>
      </x:c>
      <x:c r="C1" s="5" t="s">
        <x:v>215</x:v>
      </x:c>
    </x:row>
    <x:row r="2">
      <x:c r="A2" s="1" t="s">
        <x:v>610</x:v>
      </x:c>
      <x:c r="B2" s="1" t="s">
        <x:v>611</x:v>
      </x:c>
      <x:c r="C2" s="1" t="s">
        <x:v>612</x:v>
      </x:c>
    </x:row>
    <x:row r="3">
      <x:c r="A3" s="1" t="s">
        <x:v>613</x:v>
      </x:c>
      <x:c r="B3" s="1" t="s">
        <x:v>614</x:v>
      </x:c>
      <x:c r="C3" s="1" t="s">
        <x:v>615</x:v>
      </x:c>
    </x:row>
    <x:row r="4">
      <x:c r="A4" s="1" t="s">
        <x:v>616</x:v>
      </x:c>
      <x:c r="B4" s="1" t="s">
        <x:v>617</x:v>
      </x:c>
      <x:c r="C4" s="1" t="s">
        <x:v>618</x:v>
      </x:c>
    </x:row>
    <x:row r="5">
      <x:c r="A5" s="1" t="s">
        <x:v>619</x:v>
      </x:c>
      <x:c r="B5" s="1" t="s">
        <x:v>620</x:v>
      </x:c>
      <x:c r="C5" s="1" t="s">
        <x:v>621</x:v>
      </x:c>
    </x:row>
    <x:row r="6">
      <x:c r="A6" s="1" t="s">
        <x:v>622</x:v>
      </x:c>
      <x:c r="B6" s="1" t="s">
        <x:v>623</x:v>
      </x:c>
      <x:c r="C6" s="1" t="s">
        <x:v>624</x:v>
      </x:c>
    </x:row>
    <x:row r="7">
      <x:c r="A7" s="1" t="s">
        <x:v>625</x:v>
      </x:c>
      <x:c r="B7" s="1" t="s">
        <x:v>626</x:v>
      </x:c>
      <x:c r="C7" s="1" t="s">
        <x:v>627</x:v>
      </x:c>
    </x:row>
    <x:row r="8">
      <x:c r="A8" s="1" t="s">
        <x:v>628</x:v>
      </x:c>
      <x:c r="B8" s="1" t="s">
        <x:v>629</x:v>
      </x:c>
      <x:c r="C8" s="1" t="s">
        <x:v>630</x:v>
      </x:c>
    </x:row>
    <x:row r="9">
      <x:c r="A9" s="1" t="s">
        <x:v>631</x:v>
      </x:c>
      <x:c r="B9" s="1" t="s">
        <x:v>632</x:v>
      </x:c>
      <x:c r="C9" s="1" t="s">
        <x:v>633</x:v>
      </x:c>
    </x:row>
    <x:row r="10">
      <x:c r="A10" s="1" t="s">
        <x:v>634</x:v>
      </x:c>
      <x:c r="B10" s="1" t="s">
        <x:v>635</x:v>
      </x:c>
      <x:c r="C10" s="1" t="s">
        <x:v>636</x:v>
      </x:c>
    </x:row>
    <x:row r="11">
      <x:c r="A11" s="1" t="s">
        <x:v>637</x:v>
      </x:c>
      <x:c r="B11" s="1" t="s">
        <x:v>638</x:v>
      </x:c>
      <x:c r="C11" s="1" t="s">
        <x:v>639</x:v>
      </x:c>
    </x:row>
    <x:row r="12">
      <x:c r="A12" s="1" t="s">
        <x:v>640</x:v>
      </x:c>
      <x:c r="B12" s="1" t="s">
        <x:v>641</x:v>
      </x:c>
      <x:c r="C12" s="1" t="s">
        <x:v>642</x:v>
      </x:c>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5" t="s">
        <x:v>643</x:v>
      </x:c>
      <x:c r="B1" s="5" t="s">
        <x:v>644</x:v>
      </x:c>
      <x:c r="C1" s="5" t="s">
        <x:v>215</x:v>
      </x:c>
      <x:c r="D1" s="5" t="s">
        <x:v>645</x:v>
      </x:c>
      <x:c r="E1" s="5" t="s">
        <x:v>646</x:v>
      </x:c>
      <x:c r="F1" s="5" t="s">
        <x:v>137</x:v>
      </x:c>
      <x:c r="G1" s="1" t="s">
        <x:v>647</x:v>
      </x:c>
      <x:c r="H1" s="1" t="s">
        <x:v>648</x:v>
      </x:c>
      <x:c r="I1" s="1" t="s">
        <x:v>649</x:v>
      </x:c>
    </x:row>
    <x:row r="2">
      <x:c r="A2" s="1" t="s">
        <x:v>650</x:v>
      </x:c>
      <x:c r="B2" s="1" t="s">
        <x:v>651</x:v>
      </x:c>
      <x:c r="C2" s="1" t="s">
        <x:v>652</x:v>
      </x:c>
      <x:c r="D2" s="1" t="s">
        <x:v>653</x:v>
      </x:c>
      <x:c r="E2" s="1" t="s">
        <x:v>654</x:v>
      </x:c>
      <x:c r="F2" s="1" t="s">
        <x:v>655</x:v>
      </x:c>
      <x:c r="I2" s="1" t="s">
        <x:v>656</x:v>
      </x:c>
    </x:row>
    <x:row r="3">
      <x:c r="A3" s="1" t="s">
        <x:v>657</x:v>
      </x:c>
      <x:c r="B3" s="1" t="s">
        <x:v>658</x:v>
      </x:c>
      <x:c r="C3" s="1" t="s">
        <x:v>659</x:v>
      </x:c>
      <x:c r="D3" s="1" t="s">
        <x:v>653</x:v>
      </x:c>
      <x:c r="E3" s="1" t="s">
        <x:v>654</x:v>
      </x:c>
      <x:c r="F3" s="1" t="s">
        <x:v>660</x:v>
      </x:c>
      <x:c r="I3" s="1" t="s">
        <x:v>656</x:v>
      </x:c>
    </x:row>
    <x:row r="4">
      <x:c r="A4" s="1" t="s">
        <x:v>661</x:v>
      </x:c>
      <x:c r="B4" s="1" t="s">
        <x:v>662</x:v>
      </x:c>
      <x:c r="C4" s="1" t="s">
        <x:v>663</x:v>
      </x:c>
      <x:c r="D4" s="1" t="s">
        <x:v>664</x:v>
      </x:c>
      <x:c r="E4" s="1" t="s">
        <x:v>665</x:v>
      </x:c>
      <x:c r="F4" s="1" t="s">
        <x:v>666</x:v>
      </x:c>
      <x:c r="I4" s="1" t="s">
        <x:v>656</x:v>
      </x:c>
    </x:row>
    <x:row r="5">
      <x:c r="A5" s="1" t="s">
        <x:v>667</x:v>
      </x:c>
      <x:c r="B5" s="1" t="s">
        <x:v>668</x:v>
      </x:c>
      <x:c r="C5" s="1" t="s">
        <x:v>669</x:v>
      </x:c>
      <x:c r="D5" s="1" t="s">
        <x:v>670</x:v>
      </x:c>
      <x:c r="E5" s="1" t="s">
        <x:v>671</x:v>
      </x:c>
      <x:c r="F5" s="1" t="s">
        <x:v>672</x:v>
      </x:c>
      <x:c r="I5" s="1" t="s">
        <x:v>656</x:v>
      </x:c>
    </x:row>
    <x:row r="6">
      <x:c r="A6" s="1" t="s">
        <x:v>673</x:v>
      </x:c>
      <x:c r="B6" s="1" t="s">
        <x:v>674</x:v>
      </x:c>
      <x:c r="C6" s="1" t="s">
        <x:v>675</x:v>
      </x:c>
      <x:c r="D6" s="1" t="s">
        <x:v>653</x:v>
      </x:c>
      <x:c r="E6" s="1" t="s">
        <x:v>654</x:v>
      </x:c>
      <x:c r="F6" s="1" t="s">
        <x:v>676</x:v>
      </x:c>
      <x:c r="I6" s="1" t="s">
        <x:v>656</x:v>
      </x:c>
    </x:row>
    <x:row r="7">
      <x:c r="A7" s="1" t="s">
        <x:v>677</x:v>
      </x:c>
      <x:c r="B7" s="1" t="s">
        <x:v>678</x:v>
      </x:c>
      <x:c r="C7" s="1" t="s">
        <x:v>679</x:v>
      </x:c>
      <x:c r="D7" s="1" t="s">
        <x:v>680</x:v>
      </x:c>
      <x:c r="E7" s="1" t="s">
        <x:v>681</x:v>
      </x:c>
      <x:c r="F7" s="1" t="s">
        <x:v>682</x:v>
      </x:c>
      <x:c r="I7" s="1" t="s">
        <x:v>656</x:v>
      </x:c>
    </x:row>
    <x:row r="8">
      <x:c r="A8" s="1" t="s">
        <x:v>683</x:v>
      </x:c>
      <x:c r="B8" s="1" t="s">
        <x:v>684</x:v>
      </x:c>
      <x:c r="C8" s="1" t="s">
        <x:v>685</x:v>
      </x:c>
      <x:c r="D8" s="1" t="s">
        <x:v>653</x:v>
      </x:c>
      <x:c r="E8" s="1" t="s">
        <x:v>654</x:v>
      </x:c>
      <x:c r="F8" s="1" t="s">
        <x:v>686</x:v>
      </x:c>
      <x:c r="I8" s="1" t="s">
        <x:v>656</x:v>
      </x:c>
    </x:row>
    <x:row r="9">
      <x:c r="A9" s="1" t="s">
        <x:v>687</x:v>
      </x:c>
      <x:c r="B9" s="1" t="s">
        <x:v>688</x:v>
      </x:c>
      <x:c r="C9" s="1" t="s">
        <x:v>689</x:v>
      </x:c>
      <x:c r="D9" s="1" t="s">
        <x:v>690</x:v>
      </x:c>
      <x:c r="E9" s="1" t="s">
        <x:v>691</x:v>
      </x:c>
      <x:c r="F9" s="1" t="s">
        <x:v>692</x:v>
      </x:c>
      <x:c r="I9" s="1" t="s">
        <x:v>656</x:v>
      </x:c>
    </x:row>
    <x:row r="10">
      <x:c r="A10" s="1" t="s">
        <x:v>693</x:v>
      </x:c>
      <x:c r="B10" s="1" t="s">
        <x:v>694</x:v>
      </x:c>
      <x:c r="C10" s="1" t="s">
        <x:v>695</x:v>
      </x:c>
      <x:c r="D10" s="1" t="s">
        <x:v>671</x:v>
      </x:c>
      <x:c r="E10" s="1" t="s">
        <x:v>671</x:v>
      </x:c>
      <x:c r="F10" s="1" t="s">
        <x:v>696</x:v>
      </x:c>
      <x:c r="I10" s="1" t="s">
        <x:v>656</x:v>
      </x:c>
      <x:c r="J10" s="5"/>
    </x:row>
    <x:row r="11">
      <x:c r="A11" s="1" t="s">
        <x:v>697</x:v>
      </x:c>
      <x:c r="B11" s="1" t="s">
        <x:v>698</x:v>
      </x:c>
      <x:c r="C11" s="1" t="s">
        <x:v>699</x:v>
      </x:c>
      <x:c r="D11" s="1" t="s">
        <x:v>671</x:v>
      </x:c>
      <x:c r="E11" s="1" t="s">
        <x:v>671</x:v>
      </x:c>
      <x:c r="F11" s="1" t="s">
        <x:v>696</x:v>
      </x:c>
      <x:c r="I11" s="1" t="s">
        <x:v>656</x:v>
      </x:c>
    </x:row>
    <x:row r="12">
      <x:c r="A12" s="1" t="s">
        <x:v>700</x:v>
      </x:c>
      <x:c r="B12" s="1" t="s">
        <x:v>701</x:v>
      </x:c>
      <x:c r="C12" s="1" t="s">
        <x:v>702</x:v>
      </x:c>
      <x:c r="D12" s="1" t="s">
        <x:v>670</x:v>
      </x:c>
      <x:c r="E12" s="1" t="s">
        <x:v>671</x:v>
      </x:c>
      <x:c r="F12" s="1" t="s">
        <x:v>702</x:v>
      </x:c>
      <x:c r="I12" s="1" t="s">
        <x:v>656</x:v>
      </x:c>
    </x:row>
    <x:row r="13">
      <x:c r="A13" s="1" t="s">
        <x:v>703</x:v>
      </x:c>
      <x:c r="B13" s="1" t="s">
        <x:v>704</x:v>
      </x:c>
      <x:c r="C13" s="1" t="s">
        <x:v>705</x:v>
      </x:c>
      <x:c r="D13" s="1" t="s">
        <x:v>670</x:v>
      </x:c>
      <x:c r="E13" s="1" t="s">
        <x:v>671</x:v>
      </x:c>
      <x:c r="F13" s="1" t="s">
        <x:v>705</x:v>
      </x:c>
      <x:c r="I13" s="1" t="s">
        <x:v>656</x:v>
      </x:c>
    </x:row>
    <x:row r="14">
      <x:c r="A14" s="1" t="s">
        <x:v>706</x:v>
      </x:c>
      <x:c r="B14" s="7" t="str">
        <x:v>+A</x:v>
      </x:c>
      <x:c r="C14" s="1" t="s">
        <x:v>707</x:v>
      </x:c>
      <x:c r="D14" s="1" t="s">
        <x:v>708</x:v>
      </x:c>
      <x:c r="E14" s="1" t="s">
        <x:v>681</x:v>
      </x:c>
      <x:c r="F14" s="1" t="s">
        <x:v>707</x:v>
      </x:c>
      <x:c r="I14" s="1" t="s">
        <x:v>656</x:v>
      </x:c>
    </x:row>
    <x:row r="15">
      <x:c r="A15" s="1" t="s">
        <x:v>709</x:v>
      </x:c>
      <x:c r="B15" s="7" t="str">
        <x:v>+2A</x:v>
      </x:c>
      <x:c r="C15" s="1" t="s">
        <x:v>710</x:v>
      </x:c>
      <x:c r="D15" s="1" t="s">
        <x:v>708</x:v>
      </x:c>
      <x:c r="E15" s="1" t="s">
        <x:v>681</x:v>
      </x:c>
      <x:c r="F15" s="1" t="s">
        <x:v>710</x:v>
      </x:c>
      <x:c r="I15" s="1" t="s">
        <x:v>656</x:v>
      </x:c>
    </x:row>
    <x:row r="16">
      <x:c r="A16" s="1" t="s">
        <x:v>711</x:v>
      </x:c>
      <x:c r="B16" s="1" t="s">
        <x:v>712</x:v>
      </x:c>
      <x:c r="C16" s="1" t="s">
        <x:v>713</x:v>
      </x:c>
      <x:c r="D16" s="1" t="s">
        <x:v>670</x:v>
      </x:c>
      <x:c r="E16" s="1" t="s">
        <x:v>671</x:v>
      </x:c>
      <x:c r="F16" s="1" t="s">
        <x:v>714</x:v>
      </x:c>
      <x:c r="I16" s="1" t="s">
        <x:v>656</x:v>
      </x:c>
    </x:row>
    <x:row r="17">
      <x:c r="A17" s="1" t="s">
        <x:v>715</x:v>
      </x:c>
      <x:c r="B17" s="1" t="s">
        <x:v>716</x:v>
      </x:c>
      <x:c r="C17" s="1" t="s">
        <x:v>717</x:v>
      </x:c>
      <x:c r="D17" s="1" t="s">
        <x:v>670</x:v>
      </x:c>
      <x:c r="E17" s="1" t="s">
        <x:v>671</x:v>
      </x:c>
      <x:c r="F17" s="1" t="s">
        <x:v>718</x:v>
      </x:c>
      <x:c r="I17" s="1" t="s">
        <x:v>656</x:v>
      </x:c>
    </x:row>
    <x:row r="18">
      <x:c r="A18" s="1" t="s">
        <x:v>719</x:v>
      </x:c>
      <x:c r="B18" s="1" t="s">
        <x:v>720</x:v>
      </x:c>
      <x:c r="C18" s="1" t="s">
        <x:v>721</x:v>
      </x:c>
      <x:c r="D18" s="1" t="s">
        <x:v>708</x:v>
      </x:c>
      <x:c r="E18" s="1" t="s">
        <x:v>681</x:v>
      </x:c>
      <x:c r="F18" s="1" t="s">
        <x:v>721</x:v>
      </x:c>
      <x:c r="I18" s="1" t="s">
        <x:v>656</x:v>
      </x:c>
    </x:row>
  </x:sheetData>
  <x:pageMargins left="0.7" right="0.7" top="0.75" bottom="0.75" header="0.3" footer="0.3"/>
</x:worksheet>
</file>

<file path=xl/worksheets/sheet17.xml><?xml version="1.0" encoding="utf-8"?>
<x:worksheet xmlns:x="http://schemas.openxmlformats.org/spreadsheetml/2006/main">
  <x:sheetFormatPr defaultColWidth="12.630000114440918" defaultRowHeight="15.75"/>
  <x:sheetData>
    <x:row r="1">
      <x:c r="A1" s="1" t="s">
        <x:v>722</x:v>
      </x:c>
      <x:c r="B1" s="1" t="s">
        <x:v>723</x:v>
      </x:c>
      <x:c r="C1" s="1" t="s">
        <x:v>724</x:v>
      </x:c>
      <x:c r="D1" s="1" t="s">
        <x:v>468</x:v>
      </x:c>
      <x:c r="E1" s="1" t="s">
        <x:v>725</x:v>
      </x:c>
      <x:c r="F1" s="1" t="s">
        <x:v>726</x:v>
      </x:c>
      <x:c r="G1" s="1" t="s">
        <x:v>727</x:v>
      </x:c>
      <x:c r="H1" s="1" t="s">
        <x:v>728</x:v>
      </x:c>
      <x:c r="I1" s="1" t="s">
        <x:v>729</x:v>
      </x:c>
      <x:c r="J1" s="1" t="s">
        <x:v>730</x:v>
      </x:c>
      <x:c r="K1" s="1" t="s">
        <x:v>731</x:v>
      </x:c>
      <x:c r="L1" s="1" t="s">
        <x:v>175</x:v>
      </x:c>
      <x:c r="M1" s="1" t="s">
        <x:v>732</x:v>
      </x:c>
      <x:c r="N1" s="1" t="s">
        <x:v>137</x:v>
      </x:c>
    </x:row>
    <x:row r="2">
      <x:c r="A2" s="1" t="s">
        <x:v>733</x:v>
      </x:c>
      <x:c r="B2" s="1" t="s">
        <x:v>734</x:v>
      </x:c>
      <x:c r="C2" s="1" t="s">
        <x:v>735</x:v>
      </x:c>
      <x:c r="D2" s="1" t="s">
        <x:v>736</x:v>
      </x:c>
      <x:c r="E2" s="1" t="s">
        <x:v>737</x:v>
      </x:c>
      <x:c r="F2" s="1" t="s">
        <x:v>738</x:v>
      </x:c>
      <x:c r="G2" s="1" t="s">
        <x:v>739</x:v>
      </x:c>
      <x:c r="H2" s="1" t="s">
        <x:v>740</x:v>
      </x:c>
      <x:c r="I2" s="1" t="s">
        <x:v>741</x:v>
      </x:c>
      <x:c r="J2" s="1" t="b">
        <x:v>1</x:v>
      </x:c>
      <x:c r="K2" s="1" t="b">
        <x:v>1</x:v>
      </x:c>
      <x:c r="L2" s="1" t="b">
        <x:v>1</x:v>
      </x:c>
      <x:c r="M2" s="1">
        <x:v>1.0</x:v>
      </x:c>
    </x:row>
  </x:sheetData>
  <x:pageMargins left="0.7" right="0.7" top="0.75" bottom="0.75" header="0.3" footer="0.3"/>
</x:worksheet>
</file>

<file path=xl/worksheets/sheet18.xml><?xml version="1.0" encoding="utf-8"?>
<x:worksheet xmlns:x="http://schemas.openxmlformats.org/spreadsheetml/2006/main">
  <x:sheetFormatPr defaultColWidth="12.630000114440918" defaultRowHeight="15.75"/>
  <x:sheetData>
    <x:row r="1">
      <x:c r="A1" s="1" t="s">
        <x:v>742</x:v>
      </x:c>
      <x:c r="B1" s="1" t="s">
        <x:v>722</x:v>
      </x:c>
      <x:c r="C1" s="1" t="s">
        <x:v>743</x:v>
      </x:c>
      <x:c r="D1" s="1" t="s">
        <x:v>744</x:v>
      </x:c>
      <x:c r="E1" s="1" t="s">
        <x:v>745</x:v>
      </x:c>
      <x:c r="F1" s="1" t="s">
        <x:v>746</x:v>
      </x:c>
      <x:c r="G1" s="1" t="s">
        <x:v>747</x:v>
      </x:c>
      <x:c r="H1" s="1" t="s">
        <x:v>748</x:v>
      </x:c>
      <x:c r="I1" s="1" t="s">
        <x:v>749</x:v>
      </x:c>
      <x:c r="J1" s="1" t="s">
        <x:v>750</x:v>
      </x:c>
      <x:c r="K1" s="1" t="s">
        <x:v>751</x:v>
      </x:c>
      <x:c r="L1" s="1" t="s">
        <x:v>137</x:v>
      </x:c>
    </x:row>
    <x:row r="2">
      <x:c r="A2" s="1"/>
      <x:c r="B2" s="1"/>
      <x:c r="C2" s="1" t="s">
        <x:v>752</x:v>
      </x:c>
      <x:c r="D2" s="1" t="s">
        <x:v>753</x:v>
      </x:c>
      <x:c r="E2" s="1" t="s">
        <x:v>754</x:v>
      </x:c>
      <x:c r="F2" s="1" t="b">
        <x:v>0</x:v>
      </x:c>
      <x:c r="G2" s="1" t="b">
        <x:v>0</x:v>
      </x:c>
      <x:c r="H2" s="1"/>
      <x:c r="J2" s="1"/>
      <x:c r="K2" s="1"/>
    </x:row>
    <x:row r="3">
      <x:c r="A3" s="1"/>
      <x:c r="B3" s="1"/>
      <x:c r="C3" s="1" t="s">
        <x:v>755</x:v>
      </x:c>
      <x:c r="D3" s="1" t="s">
        <x:v>756</x:v>
      </x:c>
      <x:c r="F3" s="1" t="b">
        <x:v>1</x:v>
      </x:c>
      <x:c r="G3" s="1" t="b">
        <x:v>0</x:v>
      </x:c>
      <x:c r="H3" s="1">
        <x:v>1.0</x:v>
      </x:c>
      <x:c r="J3" s="1"/>
      <x:c r="K3" s="1"/>
    </x:row>
    <x:row r="4">
      <x:c r="A4" s="1" t="s">
        <x:v>757</x:v>
      </x:c>
      <x:c r="B4" s="1" t="s">
        <x:v>733</x:v>
      </x:c>
      <x:c r="C4" s="1" t="s">
        <x:v>758</x:v>
      </x:c>
      <x:c r="D4" s="1" t="s">
        <x:v>753</x:v>
      </x:c>
      <x:c r="E4" s="1" t="s">
        <x:v>754</x:v>
      </x:c>
      <x:c r="F4" s="1" t="b">
        <x:v>0</x:v>
      </x:c>
      <x:c r="G4" s="1" t="b">
        <x:v>1</x:v>
      </x:c>
      <x:c r="H4" s="1">
        <x:v>0.0</x:v>
      </x:c>
      <x:c r="J4" s="1" t="b">
        <x:v>1</x:v>
      </x:c>
      <x:c r="K4" s="1">
        <x:v>2.0</x:v>
      </x:c>
    </x:row>
    <x:row r="5">
      <x:c r="C5" s="1" t="s">
        <x:v>759</x:v>
      </x:c>
      <x:c r="D5" s="1" t="s">
        <x:v>756</x:v>
      </x:c>
      <x:c r="F5" s="1" t="b">
        <x:v>1</x:v>
      </x:c>
      <x:c r="G5" s="1" t="b">
        <x:v>0</x:v>
      </x:c>
      <x:c r="H5" s="1">
        <x:v>1.0</x:v>
      </x:c>
    </x:row>
    <x:row r="6">
      <x:c r="C6" s="1" t="s">
        <x:v>760</x:v>
      </x:c>
      <x:c r="D6" s="1" t="s">
        <x:v>756</x:v>
      </x:c>
      <x:c r="F6" s="1" t="b">
        <x:v>1</x:v>
      </x:c>
      <x:c r="G6" s="1" t="b">
        <x:v>0</x:v>
      </x:c>
      <x:c r="H6" s="1">
        <x:v>1.0</x:v>
      </x:c>
    </x:row>
    <x:row r="7">
      <x:c r="C7" s="1" t="s">
        <x:v>761</x:v>
      </x:c>
      <x:c r="D7" s="1" t="s">
        <x:v>756</x:v>
      </x:c>
      <x:c r="F7" s="1" t="b">
        <x:v>0</x:v>
      </x:c>
      <x:c r="G7" s="1" t="b">
        <x:v>1</x:v>
      </x:c>
    </x:row>
    <x:row r="8">
      <x:c r="C8" s="1" t="s">
        <x:v>762</x:v>
      </x:c>
      <x:c r="D8" s="1" t="s">
        <x:v>763</x:v>
      </x:c>
      <x:c r="E8" s="1" t="s">
        <x:v>98</x:v>
      </x:c>
      <x:c r="F8" s="1" t="b">
        <x:v>0</x:v>
      </x:c>
      <x:c r="G8" s="1" t="b">
        <x:v>1</x:v>
      </x:c>
    </x:row>
    <x:row r="9">
      <x:c r="C9" s="1" t="s">
        <x:v>764</x:v>
      </x:c>
      <x:c r="D9" s="1" t="s">
        <x:v>763</x:v>
      </x:c>
      <x:c r="E9" s="1" t="s">
        <x:v>98</x:v>
      </x:c>
      <x:c r="F9" s="1" t="b">
        <x:v>0</x:v>
      </x:c>
      <x:c r="G9" s="1" t="b">
        <x:v>1</x:v>
      </x:c>
    </x:row>
    <x:row r="10">
      <x:c r="C10" s="1" t="s">
        <x:v>765</x:v>
      </x:c>
      <x:c r="D10" s="1" t="s">
        <x:v>756</x:v>
      </x:c>
      <x:c r="F10" s="1" t="b">
        <x:v>0</x:v>
      </x:c>
      <x:c r="G10" s="1" t="b">
        <x:v>0</x:v>
      </x:c>
    </x:row>
    <x:row r="11">
      <x:c r="C11" s="1" t="s">
        <x:v>766</x:v>
      </x:c>
      <x:c r="D11" s="1" t="s">
        <x:v>756</x:v>
      </x:c>
      <x:c r="F11" s="1" t="b">
        <x:v>0</x:v>
      </x:c>
      <x:c r="G11" s="1" t="b">
        <x:v>0</x:v>
      </x:c>
    </x:row>
    <x:row r="12">
      <x:c r="C12" s="1" t="s">
        <x:v>767</x:v>
      </x:c>
      <x:c r="D12" s="1" t="s">
        <x:v>756</x:v>
      </x:c>
      <x:c r="F12" s="1" t="b">
        <x:v>0</x:v>
      </x:c>
      <x:c r="G12" s="1" t="b">
        <x:v>0</x:v>
      </x:c>
    </x:row>
    <x:row r="21">
      <x:c r="C21" s="5"/>
      <x:c r="D21" s="5"/>
      <x:c r="E21" s="5"/>
      <x:c r="F21" s="5"/>
      <x:c r="G21" s="5"/>
    </x:row>
  </x:sheetData>
  <x:pageMargins left="0.7" right="0.7" top="0.75" bottom="0.75" header="0.3" footer="0.3"/>
</x:worksheet>
</file>

<file path=xl/worksheets/sheet19.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2" max="2" width="34" hidden="0" customWidth="1"/>
    <x:col min="1" max="1" width="20.6299991607666" hidden="0" customWidth="1"/>
    <x:col min="3" max="3" width="16.75" hidden="0" customWidth="1"/>
    <x:col min="4" max="4" width="15.75" hidden="0" customWidth="1"/>
    <x:col min="5" max="5" width="12.630000114440918" hidden="0" customWidth="1"/>
    <x:col min="6" max="6" width="20.25" hidden="0" customWidth="1"/>
    <x:col min="7" max="7" width="34" hidden="0" customWidth="1"/>
    <x:col min="8" max="8" width="12" hidden="0" customWidth="1"/>
    <x:col min="9" max="9" width="34" hidden="0" customWidth="1"/>
    <x:col min="10" max="10" width="34" hidden="0" customWidth="1"/>
    <x:col min="11" max="11" width="34" hidden="0" customWidth="1"/>
    <x:col min="12" max="12" width="23.3799991607666" hidden="0" customWidth="1"/>
    <x:col min="13" max="13" width="18" hidden="0" customWidth="1"/>
    <x:col min="14" max="14" width="12" hidden="0" customWidth="1"/>
    <x:col min="15" max="15" width="12" hidden="0" customWidth="1"/>
    <x:col min="16" max="16" width="14.25" hidden="0" customWidth="1"/>
    <x:col min="17" max="17" width="12" hidden="0" customWidth="1"/>
    <x:col min="18" max="18" width="12" hidden="0" customWidth="1"/>
    <x:col min="19" max="19" width="12" hidden="0" customWidth="1"/>
    <x:col min="20" max="20" width="12.880000114440918" hidden="0" customWidth="1"/>
    <x:col min="21" max="21" width="15.25" hidden="0" customWidth="1"/>
    <x:col min="22" max="22" width="17.3799991607666" hidden="0" customWidth="1"/>
    <x:col min="23" max="23" width="12" hidden="0" customWidth="1"/>
    <x:col min="24" max="24" width="13.75" hidden="0" customWidth="1"/>
    <x:col min="25" max="25" width="34" hidden="0" customWidth="1"/>
    <x:col min="26" max="26" width="14" hidden="0" customWidth="1"/>
  </x:cols>
  <x:sheetData>
    <x:row r="1" ht="15.75" hidden="0" customHeight="1">
      <x:c r="A1" s="58" t="str">
        <x:v>BlueprintID</x:v>
      </x:c>
      <x:c r="B1" s="58" t="str">
        <x:v>BlueprintName</x:v>
      </x:c>
      <x:c r="C1" s="58" t="str">
        <x:v>BlueprintTemplateID</x:v>
      </x:c>
      <x:c r="D1" s="58" t="str">
        <x:v>SOAPAbbreviation</x:v>
      </x:c>
      <x:c r="E1" s="58" t="str">
        <x:v>CategoryID</x:v>
      </x:c>
      <x:c r="F1" s="58" t="str">
        <x:v>Role</x:v>
      </x:c>
      <x:c r="G1" s="58" t="str">
        <x:v>BlueprintTypeID</x:v>
      </x:c>
      <x:c r="H1" s="58" t="str">
        <x:v>Expected Unit</x:v>
      </x:c>
      <x:c r="I1" s="58" t="str">
        <x:v>Purpose</x:v>
      </x:c>
      <x:c r="J1" s="58" t="str">
        <x:v>Indications</x:v>
      </x:c>
      <x:c r="K1" s="58" t="str">
        <x:v>Contraindications</x:v>
      </x:c>
      <x:c r="L1" s="58" t="str">
        <x:v>MethodID</x:v>
      </x:c>
      <x:c r="M1" s="58" t="str">
        <x:v>EquipmentIDs</x:v>
      </x:c>
      <x:c r="N1" s="58" t="str">
        <x:v>Phase</x:v>
      </x:c>
      <x:c r="O1" s="58" t="str">
        <x:v>FlagID</x:v>
      </x:c>
      <x:c r="P1" s="58" t="str">
        <x:v>CreatedByUserID</x:v>
      </x:c>
      <x:c r="Q1" s="58" t="str">
        <x:v>OwnerType</x:v>
      </x:c>
      <x:c r="R1" s="58" t="str">
        <x:v>OwnerID</x:v>
      </x:c>
      <x:c r="S1" s="58" t="str">
        <x:v>Visibility</x:v>
      </x:c>
      <x:c r="T1" s="58" t="str">
        <x:v>ApprovalStatus</x:v>
      </x:c>
      <x:c r="U1" s="58" t="str">
        <x:v>SourceBlueprintID</x:v>
      </x:c>
      <x:c r="V1" s="58" t="str">
        <x:v>IsTemplateGenerated</x:v>
      </x:c>
      <x:c r="W1" s="58" t="str">
        <x:v>References</x:v>
      </x:c>
      <x:c r="X1" s="58" t="str">
        <x:v>ReferenceStatus</x:v>
      </x:c>
      <x:c r="Y1" s="58" t="str">
        <x:v>Notes</x:v>
      </x:c>
      <x:c r="Z1" s="58" t="str">
        <x:v>Validation Status</x:v>
      </x:c>
    </x:row>
    <x:row r="2" ht="15.75" hidden="0" customHeight="1">
      <x:c r="A2" s="57" t="str">
        <x:v>BLUE-ART-001</x:v>
      </x:c>
      <x:c r="B2" s="57" t="str">
        <x:v>Single Leg Stand</x:v>
      </x:c>
      <x:c r="C2" s="57"/>
      <x:c r="D2" s="57"/>
      <x:c r="E2" s="57" t="str">
        <x:v>CAT-ART</x:v>
      </x:c>
      <x:c r="F2" s="57" t="str">
        <x:v>Mobility</x:v>
      </x:c>
      <x:c r="G2" s="57" t="str">
        <x:v>TYPE-BLUEPRINT-RECOVERY-ACTIVITY</x:v>
      </x:c>
      <x:c r="H2" s="57"/>
      <x:c r="I2" s="57" t="str">
        <x:v>Why you use it</x:v>
      </x:c>
      <x:c r="J2" s="57" t="str">
        <x:v>When to use</x:v>
      </x:c>
      <x:c r="K2" s="57" t="str">
        <x:v>When not to use</x:v>
      </x:c>
      <x:c r="L2" s="57" t="str">
        <x:v>Links to method steps</x:v>
      </x:c>
      <x:c r="M2" s="57" t="str">
        <x:v>Links to equipment</x:v>
      </x:c>
      <x:c r="N2" s="57"/>
      <x:c r="O2" s="57"/>
      <x:c r="P2" s="57"/>
      <x:c r="Q2" s="57"/>
      <x:c r="R2" s="57"/>
      <x:c r="S2" s="57"/>
      <x:c r="T2" s="57"/>
      <x:c r="U2" s="57"/>
      <x:c r="V2" s="57"/>
      <x:c r="W2" s="57"/>
      <x:c r="X2" s="57"/>
      <x:c r="Y2" s="57" t="str">
        <x:v>Practitioner notes</x:v>
      </x:c>
      <x:c r="Z2" s="57" t="str">
        <x:v>OK</x:v>
      </x:c>
    </x:row>
    <x:row r="3" ht="15.75" hidden="0" customHeight="1">
      <x:c r="A3" s="57" t="str">
        <x:v>BLUE-TEST-001</x:v>
      </x:c>
      <x:c r="B3" s="57" t="str">
        <x:v>Subjective hamstring review</x:v>
      </x:c>
      <x:c r="C3" s="57"/>
      <x:c r="D3" s="57"/>
      <x:c r="E3" s="57" t="str">
        <x:v>CAT-TEST</x:v>
      </x:c>
      <x:c r="F3" s="57" t="str">
        <x:v>Subjective</x:v>
      </x:c>
      <x:c r="G3" s="57" t="str">
        <x:v>TYPE-BLUEPRINT-CLINICAL-TEST</x:v>
      </x:c>
      <x:c r="H3" s="57"/>
      <x:c r="I3" s="57"/>
      <x:c r="J3" s="57"/>
      <x:c r="K3" s="57"/>
      <x:c r="L3" s="57"/>
      <x:c r="M3" s="57"/>
      <x:c r="N3" s="57"/>
      <x:c r="O3" s="57"/>
      <x:c r="P3" s="57"/>
      <x:c r="Q3" s="57"/>
      <x:c r="R3" s="57"/>
      <x:c r="S3" s="57"/>
      <x:c r="T3" s="57"/>
      <x:c r="U3" s="57"/>
      <x:c r="V3" s="57"/>
      <x:c r="W3" s="57"/>
      <x:c r="X3" s="57"/>
      <x:c r="Y3" s="57"/>
      <x:c r="Z3" s="57" t="str">
        <x:v>OK</x:v>
      </x:c>
    </x:row>
    <x:row r="4" ht="15.75" hidden="0" customHeight="1">
      <x:c r="A4" s="57" t="str">
        <x:v>BLUE-TEST-002</x:v>
      </x:c>
      <x:c r="B4" s="57" t="str">
        <x:v>Gait observation</x:v>
      </x:c>
      <x:c r="C4" s="57"/>
      <x:c r="D4" s="57"/>
      <x:c r="E4" s="57" t="str">
        <x:v>CAT-TEST</x:v>
      </x:c>
      <x:c r="F4" s="57" t="str">
        <x:v>Objective</x:v>
      </x:c>
      <x:c r="G4" s="57" t="str">
        <x:v>TYPE-BLUEPRINT-CLINICAL-TEST</x:v>
      </x:c>
      <x:c r="H4" s="57"/>
      <x:c r="I4" s="57"/>
      <x:c r="J4" s="57"/>
      <x:c r="K4" s="57"/>
      <x:c r="L4" s="57"/>
      <x:c r="M4" s="57"/>
      <x:c r="N4" s="57"/>
      <x:c r="O4" s="57"/>
      <x:c r="P4" s="57"/>
      <x:c r="Q4" s="57"/>
      <x:c r="R4" s="57"/>
      <x:c r="S4" s="57"/>
      <x:c r="T4" s="57"/>
      <x:c r="U4" s="57"/>
      <x:c r="V4" s="57"/>
      <x:c r="W4" s="57"/>
      <x:c r="X4" s="57"/>
      <x:c r="Y4" s="57"/>
      <x:c r="Z4" s="57" t="str">
        <x:v>OK</x:v>
      </x:c>
    </x:row>
    <x:row r="5" ht="15.75" hidden="0" customHeight="1">
      <x:c r="A5" s="57" t="str">
        <x:v>BLUE-TEST-003</x:v>
      </x:c>
      <x:c r="B5" s="57" t="str">
        <x:v>Hamstring isometric strength test</x:v>
      </x:c>
      <x:c r="C5" s="57"/>
      <x:c r="D5" s="57"/>
      <x:c r="E5" s="57" t="str">
        <x:v>CAT-TEST</x:v>
      </x:c>
      <x:c r="F5" s="57" t="str">
        <x:v>Objective</x:v>
      </x:c>
      <x:c r="G5" s="57" t="str">
        <x:v>TYPE-BLUEPRINT-CLINICAL-TEST</x:v>
      </x:c>
      <x:c r="H5" s="57"/>
      <x:c r="I5" s="57"/>
      <x:c r="J5" s="57"/>
      <x:c r="K5" s="57"/>
      <x:c r="L5" s="57"/>
      <x:c r="M5" s="57"/>
      <x:c r="N5" s="57"/>
      <x:c r="O5" s="57"/>
      <x:c r="P5" s="57"/>
      <x:c r="Q5" s="57"/>
      <x:c r="R5" s="57"/>
      <x:c r="S5" s="57"/>
      <x:c r="T5" s="57"/>
      <x:c r="U5" s="57"/>
      <x:c r="V5" s="57"/>
      <x:c r="W5" s="57"/>
      <x:c r="X5" s="57"/>
      <x:c r="Y5" s="57"/>
      <x:c r="Z5" s="57" t="str">
        <x:v>OK</x:v>
      </x:c>
    </x:row>
    <x:row r="6" ht="15.75" hidden="0" customHeight="1">
      <x:c r="A6" s="57" t="str">
        <x:v>BLUE-TREAT-001</x:v>
      </x:c>
      <x:c r="B6" s="57" t="str">
        <x:v>Gentle soft tissue technique</x:v>
      </x:c>
      <x:c r="C6" s="57"/>
      <x:c r="D6" s="57"/>
      <x:c r="E6" s="57" t="str">
        <x:v>CAT-TREAT</x:v>
      </x:c>
      <x:c r="F6" s="57" t="str">
        <x:v>Soft Tissue</x:v>
      </x:c>
      <x:c r="G6" s="57" t="str">
        <x:v>TYPE-BLUEPRINT-TREATMENT-TECHNIQUE</x:v>
      </x:c>
      <x:c r="H6" s="57"/>
      <x:c r="I6" s="57"/>
      <x:c r="J6" s="57"/>
      <x:c r="K6" s="57"/>
      <x:c r="L6" s="57"/>
      <x:c r="M6" s="57"/>
      <x:c r="N6" s="57"/>
      <x:c r="O6" s="57"/>
      <x:c r="P6" s="57"/>
      <x:c r="Q6" s="57"/>
      <x:c r="R6" s="57"/>
      <x:c r="S6" s="57"/>
      <x:c r="T6" s="57"/>
      <x:c r="U6" s="57"/>
      <x:c r="V6" s="57"/>
      <x:c r="W6" s="57"/>
      <x:c r="X6" s="57"/>
      <x:c r="Y6" s="57"/>
      <x:c r="Z6" s="57" t="str">
        <x:v>OK</x:v>
      </x:c>
    </x:row>
    <x:row r="7" ht="15.75" hidden="0" customHeight="1">
      <x:c r="A7" s="57" t="str">
        <x:v>BLUE-ART-002</x:v>
      </x:c>
      <x:c r="B7" s="57" t="str">
        <x:v>Bridge hold exercise</x:v>
      </x:c>
      <x:c r="C7" s="57"/>
      <x:c r="D7" s="57"/>
      <x:c r="E7" s="57" t="str">
        <x:v>CAT-ART</x:v>
      </x:c>
      <x:c r="F7" s="57" t="str">
        <x:v>Loading</x:v>
      </x:c>
      <x:c r="G7" s="57" t="str">
        <x:v>TYPE-BLUEPRINT-RECOVERY-ACTIVITY</x:v>
      </x:c>
      <x:c r="H7" s="57"/>
      <x:c r="I7" s="57"/>
      <x:c r="J7" s="57"/>
      <x:c r="K7" s="57"/>
      <x:c r="L7" s="57"/>
      <x:c r="M7" s="57"/>
      <x:c r="N7" s="57"/>
      <x:c r="O7" s="57"/>
      <x:c r="P7" s="57"/>
      <x:c r="Q7" s="57"/>
      <x:c r="R7" s="57"/>
      <x:c r="S7" s="57"/>
      <x:c r="T7" s="57"/>
      <x:c r="U7" s="57"/>
      <x:c r="V7" s="57"/>
      <x:c r="W7" s="57"/>
      <x:c r="X7" s="57"/>
      <x:c r="Y7" s="57"/>
      <x:c r="Z7" s="57" t="str">
        <x:v>OK</x:v>
      </x:c>
    </x:row>
    <x:row r="8" ht="15.75" hidden="0" customHeight="1">
      <x:c r="A8" s="57" t="str">
        <x:v>BLUE-CLEDU-001</x:v>
      </x:c>
      <x:c r="B8" s="57" t="str">
        <x:v>Hip hinge education</x:v>
      </x:c>
      <x:c r="C8" s="57"/>
      <x:c r="D8" s="57"/>
      <x:c r="E8" s="57" t="str">
        <x:v>CAT-CLEDU</x:v>
      </x:c>
      <x:c r="F8" s="57" t="str">
        <x:v>Mobility Education</x:v>
      </x:c>
      <x:c r="G8" s="57" t="str">
        <x:v>TYPE-BLUEPRINT-CLIENT-EDUCATION</x:v>
      </x:c>
      <x:c r="H8" s="57"/>
      <x:c r="I8" s="57"/>
      <x:c r="J8" s="57"/>
      <x:c r="K8" s="57"/>
      <x:c r="L8" s="57"/>
      <x:c r="M8" s="57"/>
      <x:c r="N8" s="57"/>
      <x:c r="O8" s="57"/>
      <x:c r="P8" s="57"/>
      <x:c r="Q8" s="57"/>
      <x:c r="R8" s="57"/>
      <x:c r="S8" s="57"/>
      <x:c r="T8" s="57"/>
      <x:c r="U8" s="57"/>
      <x:c r="V8" s="57"/>
      <x:c r="W8" s="57"/>
      <x:c r="X8" s="57"/>
      <x:c r="Y8" s="57"/>
      <x:c r="Z8" s="57" t="str">
        <x:v>OK</x:v>
      </x:c>
    </x:row>
    <x:row r="9" ht="15.75" hidden="0" customHeight="1">
      <x:c r="A9" s="57" t="str">
        <x:v>BLUE-ART-TRA-001</x:v>
      </x:c>
      <x:c r="B9" s="57" t="str">
        <x:v>Draw in TrA</x:v>
      </x:c>
      <x:c r="C9" s="57"/>
      <x:c r="D9" s="57"/>
      <x:c r="E9" s="57" t="str">
        <x:v>CAT-ART</x:v>
      </x:c>
      <x:c r="F9" s="57" t="str">
        <x:v>Motor Control</x:v>
      </x:c>
      <x:c r="G9" s="57" t="str">
        <x:v>TYPE-BLUEPRINT-RECOVERY-ACTIVITY</x:v>
      </x:c>
      <x:c r="H9" s="57"/>
      <x:c r="I9" s="57" t="str">
        <x:v>Improve deep abdominal activation and spinal support</x:v>
      </x:c>
      <x:c r="J9" s="57" t="str">
        <x:v>Lumbar instability, poor core control</x:v>
      </x:c>
      <x:c r="K9" s="57" t="str">
        <x:v>Acute severe pain unable to tolerate supine</x:v>
      </x:c>
      <x:c r="L9" s="57" t="str">
        <x:v>METHOD-TRA-001</x:v>
      </x:c>
      <x:c r="M9" s="57"/>
      <x:c r="N9" s="57"/>
      <x:c r="O9" s="57"/>
      <x:c r="P9" s="57"/>
      <x:c r="Q9" s="57"/>
      <x:c r="R9" s="57"/>
      <x:c r="S9" s="57"/>
      <x:c r="T9" s="57"/>
      <x:c r="U9" s="57"/>
      <x:c r="V9" s="57"/>
      <x:c r="W9" s="57"/>
      <x:c r="X9" s="57"/>
      <x:c r="Y9" s="57" t="str">
        <x:v>Focus on breathing without pelvic tilt</x:v>
      </x:c>
      <x:c r="Z9" s="57" t="str">
        <x:v>OK</x:v>
      </x:c>
    </x:row>
    <x:row r="10" ht="15.75" hidden="0" customHeight="1">
      <x:c r="A10" s="57" t="str">
        <x:v>BLUE-ART-ROLL-001</x:v>
      </x:c>
      <x:c r="B10" s="57" t="str">
        <x:v>Rolling Patterns</x:v>
      </x:c>
      <x:c r="C10" s="57"/>
      <x:c r="D10" s="57"/>
      <x:c r="E10" s="57" t="str">
        <x:v>CAT-ART</x:v>
      </x:c>
      <x:c r="F10" s="57" t="str">
        <x:v>Motor Control</x:v>
      </x:c>
      <x:c r="G10" s="57" t="str">
        <x:v>TYPE-BLUEPRINT-RECOVERY-ACTIVITY</x:v>
      </x:c>
      <x:c r="H10" s="57"/>
      <x:c r="I10" s="57" t="str">
        <x:v>Improve transfer of energy and rotational control</x:v>
      </x:c>
      <x:c r="J10" s="57" t="str">
        <x:v>Poor movement coordination</x:v>
      </x:c>
      <x:c r="K10" s="57" t="str">
        <x:v>Acute dizziness or severe pain</x:v>
      </x:c>
      <x:c r="L10" s="57" t="str">
        <x:v>METHOD-ROLL-001</x:v>
      </x:c>
      <x:c r="M10" s="57"/>
      <x:c r="N10" s="57"/>
      <x:c r="O10" s="57"/>
      <x:c r="P10" s="57"/>
      <x:c r="Q10" s="57"/>
      <x:c r="R10" s="57"/>
      <x:c r="S10" s="57"/>
      <x:c r="T10" s="57"/>
      <x:c r="U10" s="57"/>
      <x:c r="V10" s="57"/>
      <x:c r="W10" s="57"/>
      <x:c r="X10" s="57"/>
      <x:c r="Y10" s="57" t="str">
        <x:v>Can use arm and leg assisted patterns</x:v>
      </x:c>
      <x:c r="Z10" s="57" t="str">
        <x:v>OK</x:v>
      </x:c>
    </x:row>
    <x:row r="11" ht="15.75" hidden="0" customHeight="1">
      <x:c r="A11" s="57" t="str">
        <x:v>BLUE-ART-CHOP-001</x:v>
      </x:c>
      <x:c r="B11" s="57" t="str">
        <x:v>Chops and Lifts</x:v>
      </x:c>
      <x:c r="C11" s="57"/>
      <x:c r="D11" s="57"/>
      <x:c r="E11" s="57" t="str">
        <x:v>CAT-ART</x:v>
      </x:c>
      <x:c r="F11" s="57" t="str">
        <x:v>Functional Strength</x:v>
      </x:c>
      <x:c r="G11" s="57" t="str">
        <x:v>TYPE-BLUEPRINT-RECOVERY-ACTIVITY</x:v>
      </x:c>
      <x:c r="H11" s="57"/>
      <x:c r="I11" s="57" t="str">
        <x:v>Improve integrated rotational stability</x:v>
      </x:c>
      <x:c r="J11" s="57" t="str">
        <x:v>Core weakness, hip stability deficits</x:v>
      </x:c>
      <x:c r="K11" s="57" t="str">
        <x:v>Acute lumbar flare</x:v>
      </x:c>
      <x:c r="L11" s="57" t="str">
        <x:v>METHOD-CHOP-001</x:v>
      </x:c>
      <x:c r="M11" s="57"/>
      <x:c r="N11" s="57"/>
      <x:c r="O11" s="57"/>
      <x:c r="P11" s="57"/>
      <x:c r="Q11" s="57"/>
      <x:c r="R11" s="57"/>
      <x:c r="S11" s="57"/>
      <x:c r="T11" s="57"/>
      <x:c r="U11" s="57"/>
      <x:c r="V11" s="57"/>
      <x:c r="W11" s="57"/>
      <x:c r="X11" s="57"/>
      <x:c r="Y11" s="57" t="str">
        <x:v>Half kneeling or tall kneeling</x:v>
      </x:c>
      <x:c r="Z11" s="57" t="str">
        <x:v>OK</x:v>
      </x:c>
    </x:row>
    <x:row r="12" ht="15.75" hidden="0" customHeight="1">
      <x:c r="A12" s="57" t="str">
        <x:v>BLUE-ART-BAL-001</x:v>
      </x:c>
      <x:c r="B12" s="57" t="str">
        <x:v>Static Balance Control</x:v>
      </x:c>
      <x:c r="C12" s="57"/>
      <x:c r="D12" s="57"/>
      <x:c r="E12" s="57" t="str">
        <x:v>CAT-ART</x:v>
      </x:c>
      <x:c r="F12" s="57" t="str">
        <x:v>Balance</x:v>
      </x:c>
      <x:c r="G12" s="57" t="str">
        <x:v>TYPE-BLUEPRINT-RECOVERY-ACTIVITY</x:v>
      </x:c>
      <x:c r="H12" s="57"/>
      <x:c r="I12" s="57" t="str">
        <x:v>Improve static balance tolerance</x:v>
      </x:c>
      <x:c r="J12" s="57" t="str">
        <x:v>Impaired balance</x:v>
      </x:c>
      <x:c r="K12" s="57" t="str">
        <x:v>High falls risk unsupported</x:v>
      </x:c>
      <x:c r="L12" s="57" t="str">
        <x:v>METHOD-BAL-001</x:v>
      </x:c>
      <x:c r="M12" s="57"/>
      <x:c r="N12" s="57"/>
      <x:c r="O12" s="57"/>
      <x:c r="P12" s="57"/>
      <x:c r="Q12" s="57"/>
      <x:c r="R12" s="57"/>
      <x:c r="S12" s="57"/>
      <x:c r="T12" s="57"/>
      <x:c r="U12" s="57"/>
      <x:c r="V12" s="57"/>
      <x:c r="W12" s="57"/>
      <x:c r="X12" s="57"/>
      <x:c r="Y12" s="57" t="str">
        <x:v>Progress surface and visual input</x:v>
      </x:c>
      <x:c r="Z12" s="57" t="str">
        <x:v>OK</x:v>
      </x:c>
    </x:row>
    <x:row r="13" ht="15.75" hidden="0" customHeight="1">
      <x:c r="A13" s="57" t="str">
        <x:v>BLUE-ART-VEST-001</x:v>
      </x:c>
      <x:c r="B13" s="57" t="str">
        <x:v>Seated Head Turns</x:v>
      </x:c>
      <x:c r="C13" s="57"/>
      <x:c r="D13" s="57"/>
      <x:c r="E13" s="57" t="str">
        <x:v>CAT-ART</x:v>
      </x:c>
      <x:c r="F13" s="57" t="str">
        <x:v>Vestibular</x:v>
      </x:c>
      <x:c r="G13" s="57" t="str">
        <x:v>TYPE-BLUEPRINT-RECOVERY-ACTIVITY</x:v>
      </x:c>
      <x:c r="H13" s="57"/>
      <x:c r="I13" s="57" t="str">
        <x:v>Improve vestibular adaptation</x:v>
      </x:c>
      <x:c r="J13" s="57" t="str">
        <x:v>Vestibular dysfunction</x:v>
      </x:c>
      <x:c r="K13" s="57" t="str">
        <x:v>Severe nausea or unstable symptoms</x:v>
      </x:c>
      <x:c r="L13" s="57" t="str">
        <x:v>METHOD-VEST-001</x:v>
      </x:c>
      <x:c r="M13" s="57"/>
      <x:c r="N13" s="57"/>
      <x:c r="O13" s="57"/>
      <x:c r="P13" s="57"/>
      <x:c r="Q13" s="57"/>
      <x:c r="R13" s="57"/>
      <x:c r="S13" s="57"/>
      <x:c r="T13" s="57"/>
      <x:c r="U13" s="57"/>
      <x:c r="V13" s="57"/>
      <x:c r="W13" s="57"/>
      <x:c r="X13" s="57"/>
      <x:c r="Y13" s="57" t="str">
        <x:v>Begin slowly</x:v>
      </x:c>
      <x:c r="Z13" s="57" t="str">
        <x:v>OK</x:v>
      </x:c>
    </x:row>
    <x:row r="14" ht="15.75" hidden="0" customHeight="1">
      <x:c r="A14" s="57" t="str">
        <x:v>BLUE-ART-LUM-001</x:v>
      </x:c>
      <x:c r="B14" s="57" t="str">
        <x:v>Quadruped Exercises</x:v>
      </x:c>
      <x:c r="C14" s="57"/>
      <x:c r="D14" s="57"/>
      <x:c r="E14" s="57" t="str">
        <x:v>CAT-ART</x:v>
      </x:c>
      <x:c r="F14" s="57" t="str">
        <x:v>Motor Control</x:v>
      </x:c>
      <x:c r="G14" s="57" t="str">
        <x:v>TYPE-BLUEPRINT-RECOVERY-ACTIVITY</x:v>
      </x:c>
      <x:c r="H14" s="57"/>
      <x:c r="I14" s="57" t="str">
        <x:v>Improve lumbar stability and limb control</x:v>
      </x:c>
      <x:c r="J14" s="57" t="str">
        <x:v>Lumbar instability</x:v>
      </x:c>
      <x:c r="K14" s="57" t="str">
        <x:v>Wrist intolerance</x:v>
      </x:c>
      <x:c r="L14" s="57" t="str">
        <x:v>METHOD-LUM-001</x:v>
      </x:c>
      <x:c r="M14" s="57"/>
      <x:c r="N14" s="57"/>
      <x:c r="O14" s="57"/>
      <x:c r="P14" s="57"/>
      <x:c r="Q14" s="57"/>
      <x:c r="R14" s="57"/>
      <x:c r="S14" s="57"/>
      <x:c r="T14" s="57"/>
      <x:c r="U14" s="57"/>
      <x:c r="V14" s="57"/>
      <x:c r="W14" s="57"/>
      <x:c r="X14" s="57"/>
      <x:c r="Y14" s="57" t="str">
        <x:v>Maintain neutral spine</x:v>
      </x:c>
      <x:c r="Z14" s="57" t="str">
        <x:v>OK</x:v>
      </x:c>
    </x:row>
    <x:row r="15" ht="15.75" hidden="0" customHeight="1">
      <x:c r="A15" s="57" t="str">
        <x:v>BLUE-ART-CX-001</x:v>
      </x:c>
      <x:c r="B15" s="57" t="str">
        <x:v>Neck Flexor Exercise</x:v>
      </x:c>
      <x:c r="C15" s="57"/>
      <x:c r="D15" s="57"/>
      <x:c r="E15" s="57" t="str">
        <x:v>CAT-ART</x:v>
      </x:c>
      <x:c r="F15" s="57" t="str">
        <x:v>Motor Control</x:v>
      </x:c>
      <x:c r="G15" s="57" t="str">
        <x:v>TYPE-BLUEPRINT-RECOVERY-ACTIVITY</x:v>
      </x:c>
      <x:c r="H15" s="57"/>
      <x:c r="I15" s="57" t="str">
        <x:v>Improve deep neck flexor endurance</x:v>
      </x:c>
      <x:c r="J15" s="57" t="str">
        <x:v>Cervical instability and poor endurance</x:v>
      </x:c>
      <x:c r="K15" s="57" t="str">
        <x:v>Acute radiculopathy flare</x:v>
      </x:c>
      <x:c r="L15" s="57" t="str">
        <x:v>METHOD-CX-001</x:v>
      </x:c>
      <x:c r="M15" s="57"/>
      <x:c r="N15" s="57"/>
      <x:c r="O15" s="57"/>
      <x:c r="P15" s="57"/>
      <x:c r="Q15" s="57"/>
      <x:c r="R15" s="57"/>
      <x:c r="S15" s="57"/>
      <x:c r="T15" s="57"/>
      <x:c r="U15" s="57"/>
      <x:c r="V15" s="57"/>
      <x:c r="W15" s="57"/>
      <x:c r="X15" s="57"/>
      <x:c r="Y15" s="57" t="str">
        <x:v>Avoid SCM dominance</x:v>
      </x:c>
      <x:c r="Z15" s="57" t="str">
        <x:v>OK</x:v>
      </x:c>
    </x:row>
    <x:row r="16" ht="15.75" hidden="0" customHeight="1">
      <x:c r="A16" s="57" t="str">
        <x:v>BLUE-ART-SP-001</x:v>
      </x:c>
      <x:c r="B16" s="57" t="str">
        <x:v>McGill Curl Up</x:v>
      </x:c>
      <x:c r="C16" s="57"/>
      <x:c r="D16" s="57"/>
      <x:c r="E16" s="57" t="str">
        <x:v>CAT-ART</x:v>
      </x:c>
      <x:c r="F16" s="57" t="str">
        <x:v>Spinal Rehab</x:v>
      </x:c>
      <x:c r="G16" s="57" t="str">
        <x:v>TYPE-BLUEPRINT-RECOVERY-ACTIVITY</x:v>
      </x:c>
      <x:c r="H16" s="57"/>
      <x:c r="I16" s="57" t="str">
        <x:v>Improve trunk stiffness and endurance</x:v>
      </x:c>
      <x:c r="J16" s="57" t="str">
        <x:v>Low back pain rehab</x:v>
      </x:c>
      <x:c r="K16" s="57" t="str">
        <x:v>Acute flexion intolerance</x:v>
      </x:c>
      <x:c r="L16" s="57" t="str">
        <x:v>METHOD-SP-001</x:v>
      </x:c>
      <x:c r="M16" s="57"/>
      <x:c r="N16" s="57"/>
      <x:c r="O16" s="57"/>
      <x:c r="P16" s="57"/>
      <x:c r="Q16" s="57"/>
      <x:c r="R16" s="57"/>
      <x:c r="S16" s="57"/>
      <x:c r="T16" s="57"/>
      <x:c r="U16" s="57"/>
      <x:c r="V16" s="57"/>
      <x:c r="W16" s="57"/>
      <x:c r="X16" s="57"/>
      <x:c r="Y16" s="57" t="str">
        <x:v>Maintain neutral lumbar spine</x:v>
      </x:c>
      <x:c r="Z16" s="57" t="str">
        <x:v>OK</x:v>
      </x:c>
    </x:row>
    <x:row r="17" ht="15.75" hidden="0" customHeight="1">
      <x:c r="A17" s="57" t="str">
        <x:v>BLUE-ART-SP-002</x:v>
      </x:c>
      <x:c r="B17" s="57" t="str">
        <x:v>Bird Dog</x:v>
      </x:c>
      <x:c r="C17" s="57"/>
      <x:c r="D17" s="57"/>
      <x:c r="E17" s="57" t="str">
        <x:v>CAT-ART</x:v>
      </x:c>
      <x:c r="F17" s="57" t="str">
        <x:v>Spinal Rehab</x:v>
      </x:c>
      <x:c r="G17" s="57" t="str">
        <x:v>TYPE-BLUEPRINT-RECOVERY-ACTIVITY</x:v>
      </x:c>
      <x:c r="H17" s="57"/>
      <x:c r="I17" s="57" t="str">
        <x:v>Improve posterior chain coordination</x:v>
      </x:c>
      <x:c r="J17" s="57" t="str">
        <x:v>Lumbar instability</x:v>
      </x:c>
      <x:c r="K17" s="57" t="str">
        <x:v>Wrist intolerance</x:v>
      </x:c>
      <x:c r="L17" s="57" t="str">
        <x:v>METHOD-SP-002</x:v>
      </x:c>
      <x:c r="M17" s="57"/>
      <x:c r="N17" s="57"/>
      <x:c r="O17" s="57"/>
      <x:c r="P17" s="57"/>
      <x:c r="Q17" s="57"/>
      <x:c r="R17" s="57"/>
      <x:c r="S17" s="57"/>
      <x:c r="T17" s="57"/>
      <x:c r="U17" s="57"/>
      <x:c r="V17" s="57"/>
      <x:c r="W17" s="57"/>
      <x:c r="X17" s="57"/>
      <x:c r="Y17" s="57" t="str">
        <x:v>Avoid trunk rotation</x:v>
      </x:c>
      <x:c r="Z17" s="57" t="str">
        <x:v>OK</x:v>
      </x:c>
    </x:row>
    <x:row r="18" ht="15.75" hidden="0" customHeight="1">
      <x:c r="A18" s="57" t="str">
        <x:v>BLUE-ART-HIP-001</x:v>
      </x:c>
      <x:c r="B18" s="57" t="str">
        <x:v>Hip Hinge / Waiters Bow</x:v>
      </x:c>
      <x:c r="C18" s="57"/>
      <x:c r="D18" s="57"/>
      <x:c r="E18" s="57" t="str">
        <x:v>CAT-ART</x:v>
      </x:c>
      <x:c r="F18" s="57" t="str">
        <x:v>Functional Movement</x:v>
      </x:c>
      <x:c r="G18" s="57" t="str">
        <x:v>TYPE-BLUEPRINT-RECOVERY-ACTIVITY</x:v>
      </x:c>
      <x:c r="H18" s="57"/>
      <x:c r="I18" s="57" t="str">
        <x:v>Improve hip loading mechanics</x:v>
      </x:c>
      <x:c r="J18" s="57" t="str">
        <x:v>Hamstring rehab and lumbar rehab</x:v>
      </x:c>
      <x:c r="K18" s="57" t="str">
        <x:v>Acute severe hamstring tear</x:v>
      </x:c>
      <x:c r="L18" s="57" t="str">
        <x:v>METHOD-HIP-001</x:v>
      </x:c>
      <x:c r="M18" s="57"/>
      <x:c r="N18" s="57"/>
      <x:c r="O18" s="57"/>
      <x:c r="P18" s="57"/>
      <x:c r="Q18" s="57"/>
      <x:c r="R18" s="57"/>
      <x:c r="S18" s="57"/>
      <x:c r="T18" s="57"/>
      <x:c r="U18" s="57"/>
      <x:c r="V18" s="57"/>
      <x:c r="W18" s="57"/>
      <x:c r="X18" s="57"/>
      <x:c r="Y18" s="57" t="str">
        <x:v>Use dowel for cueing if needed</x:v>
      </x:c>
      <x:c r="Z18" s="57" t="str">
        <x:v>OK</x:v>
      </x:c>
    </x:row>
    <x:row r="19" ht="15.75" hidden="0" customHeight="1">
      <x:c r="A19" s="57" t="str">
        <x:v>BLUE-ART-RC-001</x:v>
      </x:c>
      <x:c r="B19" s="57" t="str">
        <x:v>Rotator Cuff Isometrics</x:v>
      </x:c>
      <x:c r="C19" s="57"/>
      <x:c r="D19" s="57"/>
      <x:c r="E19" s="57" t="str">
        <x:v>CAT-ART</x:v>
      </x:c>
      <x:c r="F19" s="57" t="str">
        <x:v>Shoulder Stability</x:v>
      </x:c>
      <x:c r="G19" s="57" t="str">
        <x:v>TYPE-BLUEPRINT-RECOVERY-ACTIVITY</x:v>
      </x:c>
      <x:c r="H19" s="57"/>
      <x:c r="I19" s="57" t="str">
        <x:v>Improve cuff loading tolerance</x:v>
      </x:c>
      <x:c r="J19" s="57" t="str">
        <x:v>Rotator cuff weakness</x:v>
      </x:c>
      <x:c r="K19" s="57" t="str">
        <x:v>Acute inflammatory flare</x:v>
      </x:c>
      <x:c r="L19" s="57" t="str">
        <x:v>METHOD-RC-001</x:v>
      </x:c>
      <x:c r="M19" s="57"/>
      <x:c r="N19" s="57"/>
      <x:c r="O19" s="57"/>
      <x:c r="P19" s="57"/>
      <x:c r="Q19" s="57"/>
      <x:c r="R19" s="57"/>
      <x:c r="S19" s="57"/>
      <x:c r="T19" s="57"/>
      <x:c r="U19" s="57"/>
      <x:c r="V19" s="57"/>
      <x:c r="W19" s="57"/>
      <x:c r="X19" s="57"/>
      <x:c r="Y19" s="57" t="str">
        <x:v>Pain-free effort only</x:v>
      </x:c>
      <x:c r="Z19" s="57" t="str">
        <x:v>OK</x:v>
      </x:c>
    </x:row>
    <x:row r="20" ht="15.75" hidden="0" customHeight="1">
      <x:c r="A20" s="57" t="str">
        <x:v>BLUE-ART-SA-001</x:v>
      </x:c>
      <x:c r="B20" s="57" t="str">
        <x:v>Serratus Anterior Activation</x:v>
      </x:c>
      <x:c r="C20" s="57"/>
      <x:c r="D20" s="57"/>
      <x:c r="E20" s="57" t="str">
        <x:v>CAT-ART</x:v>
      </x:c>
      <x:c r="F20" s="57" t="str">
        <x:v>Shoulder Stability</x:v>
      </x:c>
      <x:c r="G20" s="57" t="str">
        <x:v>TYPE-BLUEPRINT-RECOVERY-ACTIVITY</x:v>
      </x:c>
      <x:c r="H20" s="57"/>
      <x:c r="I20" s="57" t="str">
        <x:v>Improve scapular upward rotation control</x:v>
      </x:c>
      <x:c r="J20" s="57" t="str">
        <x:v>Scapular dyskinesis</x:v>
      </x:c>
      <x:c r="K20" s="57" t="str">
        <x:v>Acute shoulder pain</x:v>
      </x:c>
      <x:c r="L20" s="57" t="str">
        <x:v>METHOD-SA-001</x:v>
      </x:c>
      <x:c r="M20" s="57"/>
      <x:c r="N20" s="57"/>
      <x:c r="O20" s="57"/>
      <x:c r="P20" s="57"/>
      <x:c r="Q20" s="57"/>
      <x:c r="R20" s="57"/>
      <x:c r="S20" s="57"/>
      <x:c r="T20" s="57"/>
      <x:c r="U20" s="57"/>
      <x:c r="V20" s="57"/>
      <x:c r="W20" s="57"/>
      <x:c r="X20" s="57"/>
      <x:c r="Y20" s="57" t="str">
        <x:v>Can progress wall to prone</x:v>
      </x:c>
      <x:c r="Z20" s="57" t="str">
        <x:v>OK</x:v>
      </x:c>
    </x:row>
    <x:row r="21" ht="15.75" hidden="0" customHeight="1">
      <x:c r="A21" s="57" t="str">
        <x:v>BLUE-TEST-CX-004</x:v>
      </x:c>
      <x:c r="B21" s="57" t="str">
        <x:v>Spurlings Test</x:v>
      </x:c>
      <x:c r="C21" s="57"/>
      <x:c r="D21" s="57" t="str">
        <x:v>Spurlings</x:v>
      </x:c>
      <x:c r="E21" s="57" t="str">
        <x:v>CAT-TEST</x:v>
      </x:c>
      <x:c r="F21" s="57" t="str">
        <x:v>Neurodynamic</x:v>
      </x:c>
      <x:c r="G21" s="57" t="str">
        <x:v>TYPE-BLUEPRINT-CLINICAL-TEST</x:v>
      </x:c>
      <x:c r="H21" s="57"/>
      <x:c r="I21" s="57" t="str">
        <x:v>Assess cervical foraminal compression and radiculopathy</x:v>
      </x:c>
      <x:c r="J21" s="57" t="str">
        <x:v>Cervical radicular symptoms</x:v>
      </x:c>
      <x:c r="K21" s="57" t="str">
        <x:v>Suspected instability or fracture</x:v>
      </x:c>
      <x:c r="L21" s="57" t="str">
        <x:v>METHOD-SPURL-001</x:v>
      </x:c>
      <x:c r="M21" s="57" t="str">
        <x:v>EQ-REFLEX-HAMMER</x:v>
      </x:c>
      <x:c r="N21" s="57"/>
      <x:c r="O21" s="57" t="str">
        <x:v>FLAG-002</x:v>
      </x:c>
      <x:c r="P21" s="57"/>
      <x:c r="Q21" s="57"/>
      <x:c r="R21" s="57"/>
      <x:c r="S21" s="57"/>
      <x:c r="T21" s="57"/>
      <x:c r="U21" s="57"/>
      <x:c r="V21" s="57"/>
      <x:c r="W21" s="57"/>
      <x:c r="X21" s="57"/>
      <x:c r="Y21" s="57" t="str">
        <x:v>Designed to reproduce radicular symptoms</x:v>
      </x:c>
      <x:c r="Z21" s="57" t="str">
        <x:v>OK</x:v>
      </x:c>
    </x:row>
    <x:row r="22" ht="15.75" hidden="0" customHeight="1">
      <x:c r="A22" s="57" t="str">
        <x:v>BLUE-TEST-CX-005</x:v>
      </x:c>
      <x:c r="B22" s="57" t="str">
        <x:v>Sharp Purser Test</x:v>
      </x:c>
      <x:c r="C22" s="57"/>
      <x:c r="D22" s="57" t="str">
        <x:v>Sharp Purser</x:v>
      </x:c>
      <x:c r="E22" s="57" t="str">
        <x:v>CAT-TEST</x:v>
      </x:c>
      <x:c r="F22" s="57" t="str">
        <x:v>Instability</x:v>
      </x:c>
      <x:c r="G22" s="57" t="str">
        <x:v>TYPE-BLUEPRINT-CLINICAL-TEST</x:v>
      </x:c>
      <x:c r="H22" s="57"/>
      <x:c r="I22" s="57" t="str">
        <x:v>Assess atlantoaxial instability</x:v>
      </x:c>
      <x:c r="J22" s="57" t="str">
        <x:v>C1-C2 instability suspicion</x:v>
      </x:c>
      <x:c r="K22" s="57" t="str">
        <x:v>Rheumatoid instability or fracture</x:v>
      </x:c>
      <x:c r="L22" s="57" t="str">
        <x:v>METHOD-SHARP-001</x:v>
      </x:c>
      <x:c r="M22" s="57"/>
      <x:c r="N22" s="57"/>
      <x:c r="O22" s="57" t="str">
        <x:v>FLAG-002</x:v>
      </x:c>
      <x:c r="P22" s="57"/>
      <x:c r="Q22" s="57"/>
      <x:c r="R22" s="57"/>
      <x:c r="S22" s="57"/>
      <x:c r="T22" s="57"/>
      <x:c r="U22" s="57"/>
      <x:c r="V22" s="57"/>
      <x:c r="W22" s="57"/>
      <x:c r="X22" s="57"/>
      <x:c r="Y22" s="57" t="str">
        <x:v>Positive if posterior glide reduces symptoms</x:v>
      </x:c>
      <x:c r="Z22" s="57" t="str">
        <x:v>OK</x:v>
      </x:c>
    </x:row>
    <x:row r="23" ht="15.75" hidden="0" customHeight="1">
      <x:c r="A23" s="57" t="str">
        <x:v>BLUE-TEST-CX-006</x:v>
      </x:c>
      <x:c r="B23" s="57" t="str">
        <x:v>Alar Ligament Test</x:v>
      </x:c>
      <x:c r="C23" s="57"/>
      <x:c r="D23" s="57" t="str">
        <x:v>Alar Lig</x:v>
      </x:c>
      <x:c r="E23" s="57" t="str">
        <x:v>CAT-TEST</x:v>
      </x:c>
      <x:c r="F23" s="57" t="str">
        <x:v>Instability</x:v>
      </x:c>
      <x:c r="G23" s="57" t="str">
        <x:v>TYPE-BLUEPRINT-CLINICAL-TEST</x:v>
      </x:c>
      <x:c r="H23" s="57"/>
      <x:c r="I23" s="57" t="str">
        <x:v>Assess integrity of alar ligaments</x:v>
      </x:c>
      <x:c r="J23" s="57" t="str">
        <x:v>Upper cervical instability</x:v>
      </x:c>
      <x:c r="K23" s="57" t="str">
        <x:v>Suspected fracture</x:v>
      </x:c>
      <x:c r="L23" s="57" t="str">
        <x:v>METHOD-ALAR-001</x:v>
      </x:c>
      <x:c r="M23" s="57"/>
      <x:c r="N23" s="57"/>
      <x:c r="O23" s="57" t="str">
        <x:v>FLAG-002</x:v>
      </x:c>
      <x:c r="P23" s="57"/>
      <x:c r="Q23" s="57"/>
      <x:c r="R23" s="57"/>
      <x:c r="S23" s="57"/>
      <x:c r="T23" s="57"/>
      <x:c r="U23" s="57"/>
      <x:c r="V23" s="57"/>
      <x:c r="W23" s="57"/>
      <x:c r="X23" s="57"/>
      <x:c r="Y23" s="57" t="str">
        <x:v>Tests contralateral alar ligament</x:v>
      </x:c>
      <x:c r="Z23" s="57" t="str">
        <x:v>OK</x:v>
      </x:c>
    </x:row>
    <x:row r="24" ht="15.75" hidden="0" customHeight="1">
      <x:c r="A24" s="57" t="str">
        <x:v>BLUE-TEST-TX-001</x:v>
      </x:c>
      <x:c r="B24" s="57" t="str">
        <x:v>Thoracic Tap Test</x:v>
      </x:c>
      <x:c r="C24" s="57"/>
      <x:c r="D24" s="57" t="str">
        <x:v>Tap Test</x:v>
      </x:c>
      <x:c r="E24" s="57" t="str">
        <x:v>CAT-TEST</x:v>
      </x:c>
      <x:c r="F24" s="57" t="str">
        <x:v>Screening</x:v>
      </x:c>
      <x:c r="G24" s="57" t="str">
        <x:v>TYPE-BLUEPRINT-CLINICAL-TEST</x:v>
      </x:c>
      <x:c r="H24" s="57"/>
      <x:c r="I24" s="57" t="str">
        <x:v>Assess thoracic bony irritation or stress reaction</x:v>
      </x:c>
      <x:c r="J24" s="57" t="str">
        <x:v>Thoracic pain unexplained by movement</x:v>
      </x:c>
      <x:c r="K24" s="57" t="str">
        <x:v>Known fracture</x:v>
      </x:c>
      <x:c r="L24" s="57" t="str">
        <x:v>METHOD-TAP-001</x:v>
      </x:c>
      <x:c r="M24" s="57" t="str">
        <x:v>EQ-REFLEX-HAMMER</x:v>
      </x:c>
      <x:c r="N24" s="57"/>
      <x:c r="O24" s="57" t="str">
        <x:v>FLAG-001</x:v>
      </x:c>
      <x:c r="P24" s="57"/>
      <x:c r="Q24" s="57"/>
      <x:c r="R24" s="57"/>
      <x:c r="S24" s="57"/>
      <x:c r="T24" s="57"/>
      <x:c r="U24" s="57"/>
      <x:c r="V24" s="57"/>
      <x:c r="W24" s="57"/>
      <x:c r="X24" s="57"/>
      <x:c r="Y24" s="57" t="str">
        <x:v>May indicate stress fracture or tumour</x:v>
      </x:c>
      <x:c r="Z24" s="57" t="str">
        <x:v>OK</x:v>
      </x:c>
    </x:row>
    <x:row r="25" ht="15.75" hidden="0" customHeight="1">
      <x:c r="A25" s="57" t="str">
        <x:v>BLUE-TREAT-CX-002</x:v>
      </x:c>
      <x:c r="B25" s="57" t="str">
        <x:v>C1 Rotation SNAG</x:v>
      </x:c>
      <x:c r="C25" s="57"/>
      <x:c r="D25" s="57" t="str">
        <x:v>C1 SNAG</x:v>
      </x:c>
      <x:c r="E25" s="57" t="str">
        <x:v>CAT-TREAT</x:v>
      </x:c>
      <x:c r="F25" s="57" t="str">
        <x:v>Mulligan SNAG</x:v>
      </x:c>
      <x:c r="G25" s="57" t="str">
        <x:v>TYPE-BLUEPRINT-TREATMENT-TECHNIQUE</x:v>
      </x:c>
      <x:c r="H25" s="57"/>
      <x:c r="I25" s="57" t="str">
        <x:v>Improve upper cervical rotation restriction</x:v>
      </x:c>
      <x:c r="J25" s="57" t="str">
        <x:v>Cervicogenic headache and rotation loss</x:v>
      </x:c>
      <x:c r="K25" s="57" t="str">
        <x:v>Instability or dizziness flare</x:v>
      </x:c>
      <x:c r="L25" s="57" t="str">
        <x:v>METHOD-C1SNAG-001</x:v>
      </x:c>
      <x:c r="M25" s="57" t="str">
        <x:v>EQ-TOWEL</x:v>
      </x:c>
      <x:c r="N25" s="57" t="str">
        <x:v>PHASE-002</x:v>
      </x:c>
      <x:c r="O25" s="57"/>
      <x:c r="P25" s="57"/>
      <x:c r="Q25" s="57"/>
      <x:c r="R25" s="57"/>
      <x:c r="S25" s="57"/>
      <x:c r="T25" s="57"/>
      <x:c r="U25" s="57"/>
      <x:c r="V25" s="57"/>
      <x:c r="W25" s="57"/>
      <x:c r="X25" s="57"/>
      <x:c r="Y25" s="57" t="str">
        <x:v>Use symptom-free glide</x:v>
      </x:c>
      <x:c r="Z25" s="57" t="str">
        <x:v>OK</x:v>
      </x:c>
    </x:row>
    <x:row r="26" ht="15.75" hidden="0" customHeight="1">
      <x:c r="A26" s="57" t="str">
        <x:v>BLUE-TREAT-CX-003</x:v>
      </x:c>
      <x:c r="B26" s="57" t="str">
        <x:v>Headache SNAG</x:v>
      </x:c>
      <x:c r="C26" s="57"/>
      <x:c r="D26" s="57" t="str">
        <x:v>HA SNAG</x:v>
      </x:c>
      <x:c r="E26" s="57" t="str">
        <x:v>CAT-TREAT</x:v>
      </x:c>
      <x:c r="F26" s="57" t="str">
        <x:v>Mulligan SNAG</x:v>
      </x:c>
      <x:c r="G26" s="57" t="str">
        <x:v>TYPE-BLUEPRINT-TREATMENT-TECHNIQUE</x:v>
      </x:c>
      <x:c r="H26" s="57"/>
      <x:c r="I26" s="57" t="str">
        <x:v>Reduce cervicogenic headache symptoms</x:v>
      </x:c>
      <x:c r="J26" s="57" t="str">
        <x:v>Cervicogenic headache</x:v>
      </x:c>
      <x:c r="K26" s="57" t="str">
        <x:v>Upper cervical instability</x:v>
      </x:c>
      <x:c r="L26" s="57" t="str">
        <x:v>METHOD-HASNAG-001</x:v>
      </x:c>
      <x:c r="M26" s="57" t="str">
        <x:v>EQ-TOWEL</x:v>
      </x:c>
      <x:c r="N26" s="57" t="str">
        <x:v>PHASE-002</x:v>
      </x:c>
      <x:c r="O26" s="57"/>
      <x:c r="P26" s="57"/>
      <x:c r="Q26" s="57"/>
      <x:c r="R26" s="57"/>
      <x:c r="S26" s="57"/>
      <x:c r="T26" s="57"/>
      <x:c r="U26" s="57"/>
      <x:c r="V26" s="57"/>
      <x:c r="W26" s="57"/>
      <x:c r="X26" s="57"/>
      <x:c r="Y26" s="57" t="str">
        <x:v>Apply sustained glide during movement</x:v>
      </x:c>
      <x:c r="Z26" s="57" t="str">
        <x:v>OK</x:v>
      </x:c>
    </x:row>
    <x:row r="27" ht="15.75" hidden="0" customHeight="1">
      <x:c r="A27" s="57" t="str">
        <x:v>BLUE-TREAT-TX-001</x:v>
      </x:c>
      <x:c r="B27" s="57" t="str">
        <x:v>Thoracic Rotation SNAG</x:v>
      </x:c>
      <x:c r="C27" s="57"/>
      <x:c r="D27" s="57" t="str">
        <x:v>Tx Rot SNAG</x:v>
      </x:c>
      <x:c r="E27" s="57" t="str">
        <x:v>CAT-TREAT</x:v>
      </x:c>
      <x:c r="F27" s="57" t="str">
        <x:v>Mulligan SNAG</x:v>
      </x:c>
      <x:c r="G27" s="57" t="str">
        <x:v>TYPE-BLUEPRINT-TREATMENT-TECHNIQUE</x:v>
      </x:c>
      <x:c r="H27" s="57"/>
      <x:c r="I27" s="57" t="str">
        <x:v>Improve thoracic rotation mobility</x:v>
      </x:c>
      <x:c r="J27" s="57" t="str">
        <x:v>Thoracic stiffness and pain</x:v>
      </x:c>
      <x:c r="K27" s="57" t="str">
        <x:v>Acute fracture or severe osteoporosis</x:v>
      </x:c>
      <x:c r="L27" s="57" t="str">
        <x:v>METHOD-TXSNAG-001</x:v>
      </x:c>
      <x:c r="M27" s="57"/>
      <x:c r="N27" s="57" t="str">
        <x:v>PHASE-002</x:v>
      </x:c>
      <x:c r="O27" s="57"/>
      <x:c r="P27" s="57"/>
      <x:c r="Q27" s="57"/>
      <x:c r="R27" s="57"/>
      <x:c r="S27" s="57"/>
      <x:c r="T27" s="57"/>
      <x:c r="U27" s="57"/>
      <x:c r="V27" s="57"/>
      <x:c r="W27" s="57"/>
      <x:c r="X27" s="57"/>
      <x:c r="Y27" s="57" t="str">
        <x:v>Can combine with breathing</x:v>
      </x:c>
      <x:c r="Z27" s="57" t="str">
        <x:v>OK</x:v>
      </x:c>
    </x:row>
    <x:row r="28" ht="15.75" hidden="0" customHeight="1">
      <x:c r="A28" s="57" t="str">
        <x:v>BLUE-TREAT-HIP-001</x:v>
      </x:c>
      <x:c r="B28" s="57" t="str">
        <x:v>Hip Lateral Distraction MWM</x:v>
      </x:c>
      <x:c r="C28" s="57"/>
      <x:c r="D28" s="57" t="str">
        <x:v>Hip Lat MWM</x:v>
      </x:c>
      <x:c r="E28" s="57" t="str">
        <x:v>CAT-TREAT</x:v>
      </x:c>
      <x:c r="F28" s="57" t="str">
        <x:v>MWM</x:v>
      </x:c>
      <x:c r="G28" s="57" t="str">
        <x:v>TYPE-BLUEPRINT-TREATMENT-TECHNIQUE</x:v>
      </x:c>
      <x:c r="H28" s="57"/>
      <x:c r="I28" s="57" t="str">
        <x:v>Improve hip flexion and rotation</x:v>
      </x:c>
      <x:c r="J28" s="57" t="str">
        <x:v>Hip mobility restriction</x:v>
      </x:c>
      <x:c r="K28" s="57" t="str">
        <x:v>Acute labral irritation</x:v>
      </x:c>
      <x:c r="L28" s="57" t="str">
        <x:v>METHOD-HIPMWM-001</x:v>
      </x:c>
      <x:c r="M28" s="57" t="str">
        <x:v>EQ-BELT</x:v>
      </x:c>
      <x:c r="N28" s="57" t="str">
        <x:v>PHASE-002</x:v>
      </x:c>
      <x:c r="O28" s="57"/>
      <x:c r="P28" s="57"/>
      <x:c r="Q28" s="57"/>
      <x:c r="R28" s="57"/>
      <x:c r="S28" s="57"/>
      <x:c r="T28" s="57"/>
      <x:c r="U28" s="57"/>
      <x:c r="V28" s="57"/>
      <x:c r="W28" s="57"/>
      <x:c r="X28" s="57"/>
      <x:c r="Y28" s="57" t="str">
        <x:v>Weight-bearing lunge variation</x:v>
      </x:c>
      <x:c r="Z28" s="57" t="str">
        <x:v>OK</x:v>
      </x:c>
    </x:row>
    <x:row r="29" ht="15.75" hidden="0" customHeight="1">
      <x:c r="A29" s="57" t="str">
        <x:v>BLUE-TREAT-CX-004</x:v>
      </x:c>
      <x:c r="B29" s="57" t="str">
        <x:v>Cervical Traction</x:v>
      </x:c>
      <x:c r="C29" s="57"/>
      <x:c r="D29" s="57" t="str">
        <x:v>Cx Traction</x:v>
      </x:c>
      <x:c r="E29" s="57" t="str">
        <x:v>CAT-TREAT</x:v>
      </x:c>
      <x:c r="F29" s="57" t="str">
        <x:v>Traction</x:v>
      </x:c>
      <x:c r="G29" s="57" t="str">
        <x:v>TYPE-BLUEPRINT-TREATMENT-TECHNIQUE</x:v>
      </x:c>
      <x:c r="H29" s="57"/>
      <x:c r="I29" s="57" t="str">
        <x:v>Reduce cervical compressive symptoms</x:v>
      </x:c>
      <x:c r="J29" s="57" t="str">
        <x:v>Cervical radiculopathy</x:v>
      </x:c>
      <x:c r="K29" s="57" t="str">
        <x:v>Suspected instability or VBI</x:v>
      </x:c>
      <x:c r="L29" s="57" t="str">
        <x:v>METHOD-TRACT-001</x:v>
      </x:c>
      <x:c r="M29" s="57" t="str">
        <x:v>EQ-TOWEL</x:v>
      </x:c>
      <x:c r="N29" s="57" t="str">
        <x:v>PHASE-001</x:v>
      </x:c>
      <x:c r="O29" s="57" t="str">
        <x:v>FLAG-002</x:v>
      </x:c>
      <x:c r="P29" s="57"/>
      <x:c r="Q29" s="57"/>
      <x:c r="R29" s="57"/>
      <x:c r="S29" s="57"/>
      <x:c r="T29" s="57"/>
      <x:c r="U29" s="57"/>
      <x:c r="V29" s="57"/>
      <x:c r="W29" s="57"/>
      <x:c r="X29" s="57"/>
      <x:c r="Y29" s="57" t="str">
        <x:v>Can combine with shoulder abduction</x:v>
      </x:c>
      <x:c r="Z29" s="57" t="str">
        <x:v>OK</x:v>
      </x:c>
    </x:row>
    <x:row r="30" ht="15.75" hidden="0" customHeight="1">
      <x:c r="A30" s="57" t="str">
        <x:v>BLUE-TREAT-TX-002</x:v>
      </x:c>
      <x:c r="B30" s="57" t="str">
        <x:v>Thoracic Traction</x:v>
      </x:c>
      <x:c r="C30" s="57"/>
      <x:c r="D30" s="57" t="str">
        <x:v>Tx Traction</x:v>
      </x:c>
      <x:c r="E30" s="57" t="str">
        <x:v>CAT-TREAT</x:v>
      </x:c>
      <x:c r="F30" s="57" t="str">
        <x:v>Traction</x:v>
      </x:c>
      <x:c r="G30" s="57" t="str">
        <x:v>TYPE-BLUEPRINT-TREATMENT-TECHNIQUE</x:v>
      </x:c>
      <x:c r="H30" s="57"/>
      <x:c r="I30" s="57" t="str">
        <x:v>Reduce thoracic stiffness and pain</x:v>
      </x:c>
      <x:c r="J30" s="57" t="str">
        <x:v>Thoracic hypomobility</x:v>
      </x:c>
      <x:c r="K30" s="57" t="str">
        <x:v>Acute fracture</x:v>
      </x:c>
      <x:c r="L30" s="57" t="str">
        <x:v>METHOD-TXTRACT-001</x:v>
      </x:c>
      <x:c r="M30" s="57"/>
      <x:c r="N30" s="57" t="str">
        <x:v>PHASE-002</x:v>
      </x:c>
      <x:c r="O30" s="57"/>
      <x:c r="P30" s="57"/>
      <x:c r="Q30" s="57"/>
      <x:c r="R30" s="57"/>
      <x:c r="S30" s="57"/>
      <x:c r="T30" s="57"/>
      <x:c r="U30" s="57"/>
      <x:c r="V30" s="57"/>
      <x:c r="W30" s="57"/>
      <x:c r="X30" s="57"/>
      <x:c r="Y30" s="57" t="str">
        <x:v>May combine with AP mobilisation</x:v>
      </x:c>
      <x:c r="Z30" s="57" t="str">
        <x:v>OK</x:v>
      </x:c>
    </x:row>
    <x:row r="31" ht="15.75" hidden="0" customHeight="1">
      <x:c r="A31" s="57" t="str">
        <x:v>BLUE-TEST-NEURO-001</x:v>
      </x:c>
      <x:c r="B31" s="57" t="str">
        <x:v>Trigeminal Nerve Neurodynamic Test</x:v>
      </x:c>
      <x:c r="C31" s="57"/>
      <x:c r="D31" s="57" t="str">
        <x:v>Trigeminal ND</x:v>
      </x:c>
      <x:c r="E31" s="57" t="str">
        <x:v>CAT-TEST</x:v>
      </x:c>
      <x:c r="F31" s="57" t="str">
        <x:v>Neurodynamic</x:v>
      </x:c>
      <x:c r="G31" s="57" t="str">
        <x:v>TYPE-BLUEPRINT-CLINICAL-TEST</x:v>
      </x:c>
      <x:c r="H31" s="57"/>
      <x:c r="I31" s="57" t="str">
        <x:v>Assess trigeminal nerve mechanosensitivity using upper cervical and distal neural loading</x:v>
      </x:c>
      <x:c r="J31" s="57" t="str">
        <x:v>Headache, facial symptoms, suspected cranial nerve sensitivity</x:v>
      </x:c>
      <x:c r="K31" s="57" t="str">
        <x:v>Unstable neurological signs, severe unexplained dizziness, acute worsening cranial nerve signs</x:v>
      </x:c>
      <x:c r="L31" s="57" t="str">
        <x:v>METHOD-TRIG-ND-001</x:v>
      </x:c>
      <x:c r="M31" s="57"/>
      <x:c r="N31" s="57"/>
      <x:c r="O31" s="57" t="str">
        <x:v>FLAG-002</x:v>
      </x:c>
      <x:c r="P31" s="57"/>
      <x:c r="Q31" s="57"/>
      <x:c r="R31" s="57"/>
      <x:c r="S31" s="57"/>
      <x:c r="T31" s="57"/>
      <x:c r="U31" s="57"/>
      <x:c r="V31" s="57"/>
      <x:c r="W31" s="57"/>
      <x:c r="X31" s="57"/>
      <x:c r="Y31" s="57" t="str">
        <x:v>Source describes upper cervical flexion plus contralateral lateral flexion with distal slump-style tension options</x:v>
      </x:c>
      <x:c r="Z31" s="57" t="str">
        <x:v>OK</x:v>
      </x:c>
    </x:row>
    <x:row r="32" ht="15.75" hidden="0" customHeight="1">
      <x:c r="A32" s="57" t="str">
        <x:v>BLUE-TEST-NEURO-002</x:v>
      </x:c>
      <x:c r="B32" s="57" t="str">
        <x:v>Greater Occipital Nerve Neurodynamic Test</x:v>
      </x:c>
      <x:c r="C32" s="57"/>
      <x:c r="D32" s="57" t="str">
        <x:v>GON ND</x:v>
      </x:c>
      <x:c r="E32" s="57" t="str">
        <x:v>CAT-TEST</x:v>
      </x:c>
      <x:c r="F32" s="57" t="str">
        <x:v>Neurodynamic</x:v>
      </x:c>
      <x:c r="G32" s="57" t="str">
        <x:v>TYPE-BLUEPRINT-CLINICAL-TEST</x:v>
      </x:c>
      <x:c r="H32" s="57"/>
      <x:c r="I32" s="57" t="str">
        <x:v>Assess greater occipital nerve mechanosensitivity</x:v>
      </x:c>
      <x:c r="J32" s="57" t="str">
        <x:v>Cervicogenic headache, occipital pain, upper cervical neural sensitivity</x:v>
      </x:c>
      <x:c r="K32" s="57" t="str">
        <x:v>Unstable neurological signs, severe dizziness, suspected vascular compromise</x:v>
      </x:c>
      <x:c r="L32" s="57" t="str">
        <x:v>METHOD-GON-ND-001</x:v>
      </x:c>
      <x:c r="M32" s="57"/>
      <x:c r="N32" s="57"/>
      <x:c r="O32" s="57" t="str">
        <x:v>FLAG-002</x:v>
      </x:c>
      <x:c r="P32" s="57"/>
      <x:c r="Q32" s="57"/>
      <x:c r="R32" s="57"/>
      <x:c r="S32" s="57"/>
      <x:c r="T32" s="57"/>
      <x:c r="U32" s="57"/>
      <x:c r="V32" s="57"/>
      <x:c r="W32" s="57"/>
      <x:c r="X32" s="57"/>
      <x:c r="Y32" s="57" t="str">
        <x:v>Use symptom response and side-to-side comparison</x:v>
      </x:c>
      <x:c r="Z32" s="57" t="str">
        <x:v>OK</x:v>
      </x:c>
    </x:row>
    <x:row r="33" ht="15.75" hidden="0" customHeight="1">
      <x:c r="A33" s="57" t="str">
        <x:v>BLUE-TEST-NEURO-003</x:v>
      </x:c>
      <x:c r="B33" s="57" t="str">
        <x:v>Radial Nerve Upper Limb Neurodynamic Test</x:v>
      </x:c>
      <x:c r="C33" s="57"/>
      <x:c r="D33" s="57" t="str">
        <x:v>Radial ULNT</x:v>
      </x:c>
      <x:c r="E33" s="57" t="str">
        <x:v>CAT-TEST</x:v>
      </x:c>
      <x:c r="F33" s="57" t="str">
        <x:v>Neurodynamic</x:v>
      </x:c>
      <x:c r="G33" s="57" t="str">
        <x:v>TYPE-BLUEPRINT-CLINICAL-TEST</x:v>
      </x:c>
      <x:c r="H33" s="57"/>
      <x:c r="I33" s="57" t="str">
        <x:v>Assess radial nerve mechanosensitivity and contribution to upper limb symptoms</x:v>
      </x:c>
      <x:c r="J33" s="57" t="str">
        <x:v>Lateral elbow, dorsal forearm/hand symptoms, suspected radial nerve involvement</x:v>
      </x:c>
      <x:c r="K33" s="57" t="str">
        <x:v>Acute severe irritability or inability to settle symptoms</x:v>
      </x:c>
      <x:c r="L33" s="57" t="str">
        <x:v>METHOD-RAD-ULNT-001</x:v>
      </x:c>
      <x:c r="M33" s="57"/>
      <x:c r="N33" s="57"/>
      <x:c r="O33" s="57"/>
      <x:c r="P33" s="57"/>
      <x:c r="Q33" s="57"/>
      <x:c r="R33" s="57"/>
      <x:c r="S33" s="57"/>
      <x:c r="T33" s="57"/>
      <x:c r="U33" s="57"/>
      <x:c r="V33" s="57"/>
      <x:c r="W33" s="57"/>
      <x:c r="X33" s="57"/>
      <x:c r="Y33" s="57" t="str">
        <x:v>Includes shoulder depression, elbow extension, whole limb internal rotation, fist/thumb position and wrist flexion</x:v>
      </x:c>
      <x:c r="Z33" s="57" t="str">
        <x:v>OK</x:v>
      </x:c>
    </x:row>
    <x:row r="34" ht="15.75" hidden="0" customHeight="1">
      <x:c r="A34" s="57" t="str">
        <x:v>BLUE-TEST-NEURO-004</x:v>
      </x:c>
      <x:c r="B34" s="57" t="str">
        <x:v>Axillary Nerve Neurodynamic Test</x:v>
      </x:c>
      <x:c r="C34" s="57"/>
      <x:c r="D34" s="57" t="str">
        <x:v>Axillary ND</x:v>
      </x:c>
      <x:c r="E34" s="57" t="str">
        <x:v>CAT-TEST</x:v>
      </x:c>
      <x:c r="F34" s="57" t="str">
        <x:v>Neurodynamic</x:v>
      </x:c>
      <x:c r="G34" s="57" t="str">
        <x:v>TYPE-BLUEPRINT-CLINICAL-TEST</x:v>
      </x:c>
      <x:c r="H34" s="57"/>
      <x:c r="I34" s="57" t="str">
        <x:v>Assess axillary nerve sensitivity around shoulder and deltoid region</x:v>
      </x:c>
      <x:c r="J34" s="57" t="str">
        <x:v>Shoulder pain with neural features, deltoid-area symptoms, post shoulder injury sensitivity</x:v>
      </x:c>
      <x:c r="K34" s="57" t="str">
        <x:v>Acute shoulder instability or severe unremitting symptoms</x:v>
      </x:c>
      <x:c r="L34" s="57" t="str">
        <x:v>METHOD-AXIL-ND-001</x:v>
      </x:c>
      <x:c r="M34" s="57"/>
      <x:c r="N34" s="57"/>
      <x:c r="O34" s="57"/>
      <x:c r="P34" s="57"/>
      <x:c r="Q34" s="57"/>
      <x:c r="R34" s="57"/>
      <x:c r="S34" s="57"/>
      <x:c r="T34" s="57"/>
      <x:c r="U34" s="57"/>
      <x:c r="V34" s="57"/>
      <x:c r="W34" s="57"/>
      <x:c r="X34" s="57"/>
      <x:c r="Y34" s="57" t="str">
        <x:v>Uses contralateral cervical lateral flexion, shoulder girdle depression and GH internal rotation</x:v>
      </x:c>
      <x:c r="Z34" s="57" t="str">
        <x:v>OK</x:v>
      </x:c>
    </x:row>
    <x:row r="35" ht="15.75" hidden="0" customHeight="1">
      <x:c r="A35" s="57" t="str">
        <x:v>BLUE-TEST-NEURO-005</x:v>
      </x:c>
      <x:c r="B35" s="57" t="str">
        <x:v>Median Nerve Upper Limb Neurodynamic Test</x:v>
      </x:c>
      <x:c r="C35" s="57"/>
      <x:c r="D35" s="57" t="str">
        <x:v>Median ULNT</x:v>
      </x:c>
      <x:c r="E35" s="57" t="str">
        <x:v>CAT-TEST</x:v>
      </x:c>
      <x:c r="F35" s="57" t="str">
        <x:v>Neurodynamic</x:v>
      </x:c>
      <x:c r="G35" s="57" t="str">
        <x:v>TYPE-BLUEPRINT-CLINICAL-TEST</x:v>
      </x:c>
      <x:c r="H35" s="57"/>
      <x:c r="I35" s="57" t="str">
        <x:v>Assess median nerve mechanosensitivity and upper limb neural contribution</x:v>
      </x:c>
      <x:c r="J35" s="57" t="str">
        <x:v>Neck/arm symptoms, carpal tunnel-like symptoms, pronator teres pattern, whiplash-associated sensitivity</x:v>
      </x:c>
      <x:c r="K35" s="57" t="str">
        <x:v>Acute severe irritability or inability to settle symptoms</x:v>
      </x:c>
      <x:c r="L35" s="57" t="str">
        <x:v>METHOD-MED-ULNT-001</x:v>
      </x:c>
      <x:c r="M35" s="57"/>
      <x:c r="N35" s="57"/>
      <x:c r="O35" s="57"/>
      <x:c r="P35" s="57"/>
      <x:c r="Q35" s="57"/>
      <x:c r="R35" s="57"/>
      <x:c r="S35" s="57"/>
      <x:c r="T35" s="57"/>
      <x:c r="U35" s="57"/>
      <x:c r="V35" s="57"/>
      <x:c r="W35" s="57"/>
      <x:c r="X35" s="57"/>
      <x:c r="Y35" s="57" t="str">
        <x:v>Use shoulder abduction, thumb/finger/wrist extension, supination, shoulder lateral rotation and elbow extension</x:v>
      </x:c>
      <x:c r="Z35" s="57" t="str">
        <x:v>OK</x:v>
      </x:c>
    </x:row>
    <x:row r="36" ht="15.75" hidden="0" customHeight="1">
      <x:c r="A36" s="57" t="str">
        <x:v>BLUE-TEST-NEURO-006</x:v>
      </x:c>
      <x:c r="B36" s="57" t="str">
        <x:v>Ulnar Nerve Upper Limb Neurodynamic Test</x:v>
      </x:c>
      <x:c r="C36" s="57"/>
      <x:c r="D36" s="57" t="str">
        <x:v>Ulnar ULNT</x:v>
      </x:c>
      <x:c r="E36" s="57" t="str">
        <x:v>CAT-TEST</x:v>
      </x:c>
      <x:c r="F36" s="57" t="str">
        <x:v>Neurodynamic</x:v>
      </x:c>
      <x:c r="G36" s="57" t="str">
        <x:v>TYPE-BLUEPRINT-CLINICAL-TEST</x:v>
      </x:c>
      <x:c r="H36" s="57"/>
      <x:c r="I36" s="57" t="str">
        <x:v>Assess ulnar nerve mechanosensitivity and upper limb neural contribution</x:v>
      </x:c>
      <x:c r="J36" s="57" t="str">
        <x:v>Medial forearm/hand symptoms, cubital tunnel-like symptoms, C8/T1 pattern</x:v>
      </x:c>
      <x:c r="K36" s="57" t="str">
        <x:v>Acute severe irritability or inability to settle symptoms</x:v>
      </x:c>
      <x:c r="L36" s="57" t="str">
        <x:v>METHOD-ULN-ULNT-001</x:v>
      </x:c>
      <x:c r="M36" s="57"/>
      <x:c r="N36" s="57"/>
      <x:c r="O36" s="57"/>
      <x:c r="P36" s="57"/>
      <x:c r="Q36" s="57"/>
      <x:c r="R36" s="57"/>
      <x:c r="S36" s="57"/>
      <x:c r="T36" s="57"/>
      <x:c r="U36" s="57"/>
      <x:c r="V36" s="57"/>
      <x:c r="W36" s="57"/>
      <x:c r="X36" s="57"/>
      <x:c r="Y36" s="57" t="str">
        <x:v>Ipsilateral cervical side flexion may relieve symptoms</x:v>
      </x:c>
      <x:c r="Z36" s="57" t="str">
        <x:v>OK</x:v>
      </x:c>
    </x:row>
    <x:row r="37" ht="15.75" hidden="0" customHeight="1">
      <x:c r="A37" s="57" t="str">
        <x:v>BLUE-TEST-NEURO-007</x:v>
      </x:c>
      <x:c r="B37" s="57" t="str">
        <x:v>Suprascapular Nerve Neurodynamic Test</x:v>
      </x:c>
      <x:c r="C37" s="57"/>
      <x:c r="D37" s="57" t="str">
        <x:v>SSN ND</x:v>
      </x:c>
      <x:c r="E37" s="57" t="str">
        <x:v>CAT-TEST</x:v>
      </x:c>
      <x:c r="F37" s="57" t="str">
        <x:v>Neurodynamic</x:v>
      </x:c>
      <x:c r="G37" s="57" t="str">
        <x:v>TYPE-BLUEPRINT-CLINICAL-TEST</x:v>
      </x:c>
      <x:c r="H37" s="57"/>
      <x:c r="I37" s="57" t="str">
        <x:v>Assess suprascapular nerve sensitivity with cervical and shoulder/scapular loading</x:v>
      </x:c>
      <x:c r="J37" s="57" t="str">
        <x:v>Posterior shoulder pain, scapular symptoms, suspected suprascapular nerve involvement</x:v>
      </x:c>
      <x:c r="K37" s="57" t="str">
        <x:v>Acute shoulder instability, severe unremitting symptoms</x:v>
      </x:c>
      <x:c r="L37" s="57" t="str">
        <x:v>METHOD-SSN-ND-001</x:v>
      </x:c>
      <x:c r="M37" s="57"/>
      <x:c r="N37" s="57"/>
      <x:c r="O37" s="57"/>
      <x:c r="P37" s="57"/>
      <x:c r="Q37" s="57"/>
      <x:c r="R37" s="57"/>
      <x:c r="S37" s="57"/>
      <x:c r="T37" s="57"/>
      <x:c r="U37" s="57"/>
      <x:c r="V37" s="57"/>
      <x:c r="W37" s="57"/>
      <x:c r="X37" s="57"/>
      <x:c r="Y37" s="57" t="str">
        <x:v>Uses shoulder girdle depression, force down humeral shaft and scapula rotation as mobilisation</x:v>
      </x:c>
      <x:c r="Z37" s="57" t="str">
        <x:v>OK</x:v>
      </x:c>
    </x:row>
    <x:row r="38" ht="15.75" hidden="0" customHeight="1">
      <x:c r="A38" s="57" t="str">
        <x:v>BLUE-TEST-NEURO-008</x:v>
      </x:c>
      <x:c r="B38" s="57" t="str">
        <x:v>Slump Test</x:v>
      </x:c>
      <x:c r="C38" s="57"/>
      <x:c r="D38" s="57" t="str">
        <x:v>Slump</x:v>
      </x:c>
      <x:c r="E38" s="57" t="str">
        <x:v>CAT-TEST</x:v>
      </x:c>
      <x:c r="F38" s="57" t="str">
        <x:v>Neurodynamic</x:v>
      </x:c>
      <x:c r="G38" s="57" t="str">
        <x:v>TYPE-BLUEPRINT-CLINICAL-TEST</x:v>
      </x:c>
      <x:c r="H38" s="57"/>
      <x:c r="I38" s="57" t="str">
        <x:v>Assess sciatic/lumbosacral neural mechanosensitivity using spinal and lower limb loading</x:v>
      </x:c>
      <x:c r="J38" s="57" t="str">
        <x:v>Posterior leg symptoms, suspected lumbar nerve root or sciatic contribution</x:v>
      </x:c>
      <x:c r="K38" s="57" t="str">
        <x:v>Acute severe neural irritability, cauda equina signs requiring urgent referral</x:v>
      </x:c>
      <x:c r="L38" s="57" t="str">
        <x:v>METHOD-SLUMP-001</x:v>
      </x:c>
      <x:c r="M38" s="57"/>
      <x:c r="N38" s="57"/>
      <x:c r="O38" s="57" t="str">
        <x:v>FLAG-002</x:v>
      </x:c>
      <x:c r="P38" s="57"/>
      <x:c r="Q38" s="57"/>
      <x:c r="R38" s="57"/>
      <x:c r="S38" s="57"/>
      <x:c r="T38" s="57"/>
      <x:c r="U38" s="57"/>
      <x:c r="V38" s="57"/>
      <x:c r="W38" s="57"/>
      <x:c r="X38" s="57"/>
      <x:c r="Y38" s="57" t="str">
        <x:v>Record symptom change with cervical release/extension</x:v>
      </x:c>
      <x:c r="Z38" s="57" t="str">
        <x:v>OK</x:v>
      </x:c>
    </x:row>
    <x:row r="39" ht="15.75" hidden="0" customHeight="1">
      <x:c r="A39" s="57" t="str">
        <x:v>BLUE-TEST-NEURO-009</x:v>
      </x:c>
      <x:c r="B39" s="57" t="str">
        <x:v>Straight Leg Raise Neurodynamic Test</x:v>
      </x:c>
      <x:c r="C39" s="57"/>
      <x:c r="D39" s="57" t="str">
        <x:v>SLR</x:v>
      </x:c>
      <x:c r="E39" s="57" t="str">
        <x:v>CAT-TEST</x:v>
      </x:c>
      <x:c r="F39" s="57" t="str">
        <x:v>Neurodynamic</x:v>
      </x:c>
      <x:c r="G39" s="57" t="str">
        <x:v>TYPE-BLUEPRINT-CLINICAL-TEST</x:v>
      </x:c>
      <x:c r="H39" s="57" t="str">
        <x:v>degrees</x:v>
      </x:c>
      <x:c r="I39" s="57" t="str">
        <x:v>Assess sciatic nerve and lumbosacral neural mechanosensitivity</x:v>
      </x:c>
      <x:c r="J39" s="57" t="str">
        <x:v>Posterior leg pain, radicular symptoms, hamstring/neural differentiation</x:v>
      </x:c>
      <x:c r="K39" s="57" t="str">
        <x:v>Acute severe neural irritability, cauda equina signs requiring urgent referral</x:v>
      </x:c>
      <x:c r="L39" s="57" t="str">
        <x:v>METHOD-SLR-001</x:v>
      </x:c>
      <x:c r="M39" s="57"/>
      <x:c r="N39" s="57"/>
      <x:c r="O39" s="57" t="str">
        <x:v>FLAG-002</x:v>
      </x:c>
      <x:c r="P39" s="57"/>
      <x:c r="Q39" s="57"/>
      <x:c r="R39" s="57"/>
      <x:c r="S39" s="57"/>
      <x:c r="T39" s="57"/>
      <x:c r="U39" s="57"/>
      <x:c r="V39" s="57"/>
      <x:c r="W39" s="57"/>
      <x:c r="X39" s="57"/>
      <x:c r="Y39" s="57" t="str">
        <x:v>Add cervical flexion, hip adduction/internal rotation and ankle dorsiflexion as sensitizers</x:v>
      </x:c>
      <x:c r="Z39" s="57" t="str">
        <x:v>OK</x:v>
      </x:c>
    </x:row>
    <x:row r="40" ht="15.75" hidden="0" customHeight="1">
      <x:c r="A40" s="57" t="str">
        <x:v>BLUE-TEST-NEURO-010</x:v>
      </x:c>
      <x:c r="B40" s="57" t="str">
        <x:v>Tibial Nerve Bias SLR</x:v>
      </x:c>
      <x:c r="C40" s="57"/>
      <x:c r="D40" s="57" t="str">
        <x:v>Tibial Bias</x:v>
      </x:c>
      <x:c r="E40" s="57" t="str">
        <x:v>CAT-TEST</x:v>
      </x:c>
      <x:c r="F40" s="57" t="str">
        <x:v>Neurodynamic</x:v>
      </x:c>
      <x:c r="G40" s="57" t="str">
        <x:v>TYPE-BLUEPRINT-CLINICAL-TEST</x:v>
      </x:c>
      <x:c r="H40" s="57"/>
      <x:c r="I40" s="57" t="str">
        <x:v>Bias tibial nerve during SLR assessment</x:v>
      </x:c>
      <x:c r="J40" s="57" t="str">
        <x:v>Posterior calf/plantar foot symptoms, suspected tibial nerve contribution</x:v>
      </x:c>
      <x:c r="K40" s="57" t="str">
        <x:v>Acute severe neural irritability</x:v>
      </x:c>
      <x:c r="L40" s="57" t="str">
        <x:v>METHOD-TIB-SLR-001</x:v>
      </x:c>
      <x:c r="M40" s="57"/>
      <x:c r="N40" s="57"/>
      <x:c r="O40" s="57"/>
      <x:c r="P40" s="57"/>
      <x:c r="Q40" s="57"/>
      <x:c r="R40" s="57"/>
      <x:c r="S40" s="57"/>
      <x:c r="T40" s="57"/>
      <x:c r="U40" s="57"/>
      <x:c r="V40" s="57"/>
      <x:c r="W40" s="57"/>
      <x:c r="X40" s="57"/>
      <x:c r="Y40" s="57" t="str">
        <x:v>As SLR with dorsiflexion and eversion</x:v>
      </x:c>
      <x:c r="Z40" s="57" t="str">
        <x:v>OK</x:v>
      </x:c>
    </x:row>
    <x:row r="41" ht="15.75" hidden="0" customHeight="1">
      <x:c r="A41" s="57" t="str">
        <x:v>BLUE-TEST-NEURO-011</x:v>
      </x:c>
      <x:c r="B41" s="57" t="str">
        <x:v>Peroneal Nerve Bias SLR</x:v>
      </x:c>
      <x:c r="C41" s="57"/>
      <x:c r="D41" s="57" t="str">
        <x:v>Peroneal Bias</x:v>
      </x:c>
      <x:c r="E41" s="57" t="str">
        <x:v>CAT-TEST</x:v>
      </x:c>
      <x:c r="F41" s="57" t="str">
        <x:v>Neurodynamic</x:v>
      </x:c>
      <x:c r="G41" s="57" t="str">
        <x:v>TYPE-BLUEPRINT-CLINICAL-TEST</x:v>
      </x:c>
      <x:c r="H41" s="57"/>
      <x:c r="I41" s="57" t="str">
        <x:v>Bias peroneal nerve during SLR assessment</x:v>
      </x:c>
      <x:c r="J41" s="57" t="str">
        <x:v>Lateral leg/dorsal foot symptoms, suspected peroneal nerve contribution</x:v>
      </x:c>
      <x:c r="K41" s="57" t="str">
        <x:v>Acute severe neural irritability</x:v>
      </x:c>
      <x:c r="L41" s="57" t="str">
        <x:v>METHOD-PER-SLR-001</x:v>
      </x:c>
      <x:c r="M41" s="57"/>
      <x:c r="N41" s="57"/>
      <x:c r="O41" s="57"/>
      <x:c r="P41" s="57"/>
      <x:c r="Q41" s="57"/>
      <x:c r="R41" s="57"/>
      <x:c r="S41" s="57"/>
      <x:c r="T41" s="57"/>
      <x:c r="U41" s="57"/>
      <x:c r="V41" s="57"/>
      <x:c r="W41" s="57"/>
      <x:c r="X41" s="57"/>
      <x:c r="Y41" s="57" t="str">
        <x:v>As SLR with plantar flexion and inversion</x:v>
      </x:c>
      <x:c r="Z41" s="57" t="str">
        <x:v>OK</x:v>
      </x:c>
    </x:row>
    <x:row r="42" ht="15.75" hidden="0" customHeight="1">
      <x:c r="A42" s="57" t="str">
        <x:v>BLUE-TEST-NEURO-012</x:v>
      </x:c>
      <x:c r="B42" s="57" t="str">
        <x:v>Sural Nerve Bias SLR</x:v>
      </x:c>
      <x:c r="C42" s="57"/>
      <x:c r="D42" s="57" t="str">
        <x:v>Sural Bias</x:v>
      </x:c>
      <x:c r="E42" s="57" t="str">
        <x:v>CAT-TEST</x:v>
      </x:c>
      <x:c r="F42" s="57" t="str">
        <x:v>Neurodynamic</x:v>
      </x:c>
      <x:c r="G42" s="57" t="str">
        <x:v>TYPE-BLUEPRINT-CLINICAL-TEST</x:v>
      </x:c>
      <x:c r="H42" s="57"/>
      <x:c r="I42" s="57" t="str">
        <x:v>Bias sural nerve during SLR assessment</x:v>
      </x:c>
      <x:c r="J42" s="57" t="str">
        <x:v>Posterolateral calf/lateral foot symptoms, suspected sural nerve contribution</x:v>
      </x:c>
      <x:c r="K42" s="57" t="str">
        <x:v>Acute severe neural irritability</x:v>
      </x:c>
      <x:c r="L42" s="57" t="str">
        <x:v>METHOD-SUR-SLR-001</x:v>
      </x:c>
      <x:c r="M42" s="57"/>
      <x:c r="N42" s="57"/>
      <x:c r="O42" s="57"/>
      <x:c r="P42" s="57"/>
      <x:c r="Q42" s="57"/>
      <x:c r="R42" s="57"/>
      <x:c r="S42" s="57"/>
      <x:c r="T42" s="57"/>
      <x:c r="U42" s="57"/>
      <x:c r="V42" s="57"/>
      <x:c r="W42" s="57"/>
      <x:c r="X42" s="57"/>
      <x:c r="Y42" s="57" t="str">
        <x:v>As SLR with dorsiflexion and inversion</x:v>
      </x:c>
      <x:c r="Z42" s="57" t="str">
        <x:v>OK</x:v>
      </x:c>
    </x:row>
    <x:row r="43" ht="15.75" hidden="0" customHeight="1">
      <x:c r="A43" s="57" t="str">
        <x:v>BLUE-TEST-NEURO-013</x:v>
      </x:c>
      <x:c r="B43" s="57" t="str">
        <x:v>Femoral Nerve Prone Knee Bend Test</x:v>
      </x:c>
      <x:c r="C43" s="57"/>
      <x:c r="D43" s="57" t="str">
        <x:v>Femoral PKB</x:v>
      </x:c>
      <x:c r="E43" s="57" t="str">
        <x:v>CAT-TEST</x:v>
      </x:c>
      <x:c r="F43" s="57" t="str">
        <x:v>Neurodynamic</x:v>
      </x:c>
      <x:c r="G43" s="57" t="str">
        <x:v>TYPE-BLUEPRINT-CLINICAL-TEST</x:v>
      </x:c>
      <x:c r="H43" s="57"/>
      <x:c r="I43" s="57" t="str">
        <x:v>Assess femoral nerve mechanosensitivity using prone knee bend</x:v>
      </x:c>
      <x:c r="J43" s="57" t="str">
        <x:v>Anterior thigh symptoms, suspected femoral nerve contribution</x:v>
      </x:c>
      <x:c r="K43" s="57" t="str">
        <x:v>Acute severe neural irritability or prone intolerance</x:v>
      </x:c>
      <x:c r="L43" s="57" t="str">
        <x:v>METHOD-FEM-PKB-001</x:v>
      </x:c>
      <x:c r="M43" s="57"/>
      <x:c r="N43" s="57"/>
      <x:c r="O43" s="57"/>
      <x:c r="P43" s="57"/>
      <x:c r="Q43" s="57"/>
      <x:c r="R43" s="57"/>
      <x:c r="S43" s="57"/>
      <x:c r="T43" s="57"/>
      <x:c r="U43" s="57"/>
      <x:c r="V43" s="57"/>
      <x:c r="W43" s="57"/>
      <x:c r="X43" s="57"/>
      <x:c r="Y43" s="57" t="str">
        <x:v>Source notes differentiation from quadriceps symptoms can be difficult in this position</x:v>
      </x:c>
      <x:c r="Z43" s="57" t="str">
        <x:v>OK</x:v>
      </x:c>
    </x:row>
    <x:row r="44" ht="15.75" hidden="0" customHeight="1">
      <x:c r="A44" s="57" t="str">
        <x:v>BLUE-TEST-NEURO-014</x:v>
      </x:c>
      <x:c r="B44" s="57" t="str">
        <x:v>Femoral Nerve Side-Lying Slump Test</x:v>
      </x:c>
      <x:c r="C44" s="57"/>
      <x:c r="D44" s="57" t="str">
        <x:v>Femoral Slump</x:v>
      </x:c>
      <x:c r="E44" s="57" t="str">
        <x:v>CAT-TEST</x:v>
      </x:c>
      <x:c r="F44" s="57" t="str">
        <x:v>Neurodynamic</x:v>
      </x:c>
      <x:c r="G44" s="57" t="str">
        <x:v>TYPE-BLUEPRINT-CLINICAL-TEST</x:v>
      </x:c>
      <x:c r="H44" s="57"/>
      <x:c r="I44" s="57" t="str">
        <x:v>Assess femoral nerve sensitivity using side-lying trunk flexion, hip extension and cervical differentiation</x:v>
      </x:c>
      <x:c r="J44" s="57" t="str">
        <x:v>Anterior thigh/groin symptoms, suspected femoral nerve contribution</x:v>
      </x:c>
      <x:c r="K44" s="57" t="str">
        <x:v>Acute severe neural irritability or side-lying intolerance</x:v>
      </x:c>
      <x:c r="L44" s="57" t="str">
        <x:v>METHOD-FEM-SLUMP-001</x:v>
      </x:c>
      <x:c r="M44" s="57"/>
      <x:c r="N44" s="57"/>
      <x:c r="O44" s="57"/>
      <x:c r="P44" s="57"/>
      <x:c r="Q44" s="57"/>
      <x:c r="R44" s="57"/>
      <x:c r="S44" s="57"/>
      <x:c r="T44" s="57"/>
      <x:c r="U44" s="57"/>
      <x:c r="V44" s="57"/>
      <x:c r="W44" s="57"/>
      <x:c r="X44" s="57"/>
      <x:c r="Y44" s="57" t="str">
        <x:v>Differentiate with neck flexion</x:v>
      </x:c>
      <x:c r="Z44" s="57" t="str">
        <x:v>OK</x:v>
      </x:c>
    </x:row>
    <x:row r="45" ht="15.75" hidden="0" customHeight="1">
      <x:c r="A45" s="57" t="str">
        <x:v>BLUE-TEST-NEURO-015</x:v>
      </x:c>
      <x:c r="B45" s="57" t="str">
        <x:v>Lateral Cutaneous Femoral Nerve Bias</x:v>
      </x:c>
      <x:c r="C45" s="57"/>
      <x:c r="D45" s="57" t="str">
        <x:v>Lat Cut Fem Bias</x:v>
      </x:c>
      <x:c r="E45" s="57" t="str">
        <x:v>CAT-TEST</x:v>
      </x:c>
      <x:c r="F45" s="57" t="str">
        <x:v>Neurodynamic</x:v>
      </x:c>
      <x:c r="G45" s="57" t="str">
        <x:v>TYPE-BLUEPRINT-CLINICAL-TEST</x:v>
      </x:c>
      <x:c r="H45" s="57"/>
      <x:c r="I45" s="57" t="str">
        <x:v>Assess lateral cutaneous femoral nerve contribution</x:v>
      </x:c>
      <x:c r="J45" s="57" t="str">
        <x:v>Lateral thigh symptoms, suspected meralgia paraesthetica pattern</x:v>
      </x:c>
      <x:c r="K45" s="57" t="str">
        <x:v>Acute severe neural irritability</x:v>
      </x:c>
      <x:c r="L45" s="57" t="str">
        <x:v>METHOD-LCFN-001</x:v>
      </x:c>
      <x:c r="M45" s="57"/>
      <x:c r="N45" s="57"/>
      <x:c r="O45" s="57"/>
      <x:c r="P45" s="57"/>
      <x:c r="Q45" s="57"/>
      <x:c r="R45" s="57"/>
      <x:c r="S45" s="57"/>
      <x:c r="T45" s="57"/>
      <x:c r="U45" s="57"/>
      <x:c r="V45" s="57"/>
      <x:c r="W45" s="57"/>
      <x:c r="X45" s="57"/>
      <x:c r="Y45" s="57" t="str">
        <x:v>As femoral nerve with hip adduction and medial rotation</x:v>
      </x:c>
      <x:c r="Z45" s="57" t="str">
        <x:v>OK</x:v>
      </x:c>
    </x:row>
    <x:row r="46" ht="15.75" hidden="0" customHeight="1">
      <x:c r="A46" s="57" t="str">
        <x:v>BLUE-TEST-NEURO-016</x:v>
      </x:c>
      <x:c r="B46" s="57" t="str">
        <x:v>Saphenous Nerve Bias</x:v>
      </x:c>
      <x:c r="C46" s="57"/>
      <x:c r="D46" s="57" t="str">
        <x:v>Saphenous Bias</x:v>
      </x:c>
      <x:c r="E46" s="57" t="str">
        <x:v>CAT-TEST</x:v>
      </x:c>
      <x:c r="F46" s="57" t="str">
        <x:v>Neurodynamic</x:v>
      </x:c>
      <x:c r="G46" s="57" t="str">
        <x:v>TYPE-BLUEPRINT-CLINICAL-TEST</x:v>
      </x:c>
      <x:c r="H46" s="57"/>
      <x:c r="I46" s="57" t="str">
        <x:v>Assess saphenous nerve contribution</x:v>
      </x:c>
      <x:c r="J46" s="57" t="str">
        <x:v>Medial knee/leg symptoms, suspected saphenous nerve involvement</x:v>
      </x:c>
      <x:c r="K46" s="57" t="str">
        <x:v>Acute severe neural irritability</x:v>
      </x:c>
      <x:c r="L46" s="57" t="str">
        <x:v>METHOD-SAPH-001</x:v>
      </x:c>
      <x:c r="M46" s="57"/>
      <x:c r="N46" s="57"/>
      <x:c r="O46" s="57"/>
      <x:c r="P46" s="57"/>
      <x:c r="Q46" s="57"/>
      <x:c r="R46" s="57"/>
      <x:c r="S46" s="57"/>
      <x:c r="T46" s="57"/>
      <x:c r="U46" s="57"/>
      <x:c r="V46" s="57"/>
      <x:c r="W46" s="57"/>
      <x:c r="X46" s="57"/>
      <x:c r="Y46" s="57" t="str">
        <x:v>As femoral nerve with knee extension and foot eversion</x:v>
      </x:c>
      <x:c r="Z46" s="57" t="str">
        <x:v>OK</x:v>
      </x:c>
    </x:row>
    <x:row r="47" ht="15.75" hidden="0" customHeight="1">
      <x:c r="A47" s="57" t="str">
        <x:v>BLUE-TEST-NEURO-017</x:v>
      </x:c>
      <x:c r="B47" s="57" t="str">
        <x:v>Obturator Nerve Bias</x:v>
      </x:c>
      <x:c r="C47" s="57"/>
      <x:c r="D47" s="57" t="str">
        <x:v>Obturator Bias</x:v>
      </x:c>
      <x:c r="E47" s="57" t="str">
        <x:v>CAT-TEST</x:v>
      </x:c>
      <x:c r="F47" s="57" t="str">
        <x:v>Neurodynamic</x:v>
      </x:c>
      <x:c r="G47" s="57" t="str">
        <x:v>TYPE-BLUEPRINT-CLINICAL-TEST</x:v>
      </x:c>
      <x:c r="H47" s="57"/>
      <x:c r="I47" s="57" t="str">
        <x:v>Assess obturator nerve contribution</x:v>
      </x:c>
      <x:c r="J47" s="57" t="str">
        <x:v>Medial thigh/groin symptoms, suspected obturator nerve involvement</x:v>
      </x:c>
      <x:c r="K47" s="57" t="str">
        <x:v>Acute severe neural irritability</x:v>
      </x:c>
      <x:c r="L47" s="57" t="str">
        <x:v>METHOD-OBT-001</x:v>
      </x:c>
      <x:c r="M47" s="57"/>
      <x:c r="N47" s="57"/>
      <x:c r="O47" s="57"/>
      <x:c r="P47" s="57"/>
      <x:c r="Q47" s="57"/>
      <x:c r="R47" s="57"/>
      <x:c r="S47" s="57"/>
      <x:c r="T47" s="57"/>
      <x:c r="U47" s="57"/>
      <x:c r="V47" s="57"/>
      <x:c r="W47" s="57"/>
      <x:c r="X47" s="57"/>
      <x:c r="Y47" s="57" t="str">
        <x:v>As femoral nerve with hip abduction and knee flexion</x:v>
      </x:c>
      <x:c r="Z47" s="57" t="str">
        <x:v>OK</x:v>
      </x:c>
    </x:row>
    <x:row r="48" ht="15.75" hidden="0" customHeight="1">
      <x:c r="A48" s="57" t="str">
        <x:v>BLUE-ART-NEURO-001</x:v>
      </x:c>
      <x:c r="B48" s="57" t="str">
        <x:v>Median Nerve Slider</x:v>
      </x:c>
      <x:c r="C48" s="57"/>
      <x:c r="D48" s="57" t="str">
        <x:v>Median Slider</x:v>
      </x:c>
      <x:c r="E48" s="57" t="str">
        <x:v>CAT-ART</x:v>
      </x:c>
      <x:c r="F48" s="57" t="str">
        <x:v>Neurodynamic Slider</x:v>
      </x:c>
      <x:c r="G48" s="57" t="str">
        <x:v>TYPE-BLUEPRINT-RECOVERY-ACTIVITY</x:v>
      </x:c>
      <x:c r="H48" s="57"/>
      <x:c r="I48" s="57" t="str">
        <x:v>Improve median nerve movement with low-irritability sliding</x:v>
      </x:c>
      <x:c r="J48" s="57" t="str">
        <x:v>Median nerve mechanosensitivity when symptoms settle quickly</x:v>
      </x:c>
      <x:c r="K48" s="57" t="str">
        <x:v>Symptoms that linger or flare after movement</x:v>
      </x:c>
      <x:c r="L48" s="57" t="str">
        <x:v>METHOD-MED-SLIDER-001</x:v>
      </x:c>
      <x:c r="M48" s="57"/>
      <x:c r="N48" s="57" t="str">
        <x:v>PHASE-006</x:v>
      </x:c>
      <x:c r="O48" s="57"/>
      <x:c r="P48" s="57"/>
      <x:c r="Q48" s="57"/>
      <x:c r="R48" s="57"/>
      <x:c r="S48" s="57"/>
      <x:c r="T48" s="57"/>
      <x:c r="U48" s="57"/>
      <x:c r="V48" s="57"/>
      <x:c r="W48" s="57"/>
      <x:c r="X48" s="57"/>
      <x:c r="Y48" s="57" t="str">
        <x:v>Slider: tension one end while offloading the other; no clinical pain during or after</x:v>
      </x:c>
      <x:c r="Z48" s="57" t="str">
        <x:v>OK</x:v>
      </x:c>
    </x:row>
    <x:row r="49" ht="15.75" hidden="0" customHeight="1">
      <x:c r="A49" s="57" t="str">
        <x:v>BLUE-ART-NEURO-002</x:v>
      </x:c>
      <x:c r="B49" s="57" t="str">
        <x:v>Median Nerve Tensioner</x:v>
      </x:c>
      <x:c r="C49" s="57"/>
      <x:c r="D49" s="57" t="str">
        <x:v>Median Tensioner</x:v>
      </x:c>
      <x:c r="E49" s="57" t="str">
        <x:v>CAT-ART</x:v>
      </x:c>
      <x:c r="F49" s="57" t="str">
        <x:v>Neurodynamic Tensioner</x:v>
      </x:c>
      <x:c r="G49" s="57" t="str">
        <x:v>TYPE-BLUEPRINT-RECOVERY-ACTIVITY</x:v>
      </x:c>
      <x:c r="H49" s="57"/>
      <x:c r="I49" s="57" t="str">
        <x:v>Improve tolerance to median nerve tension changes</x:v>
      </x:c>
      <x:c r="J49" s="57" t="str">
        <x:v>Low irritability median nerve sensitivity after slider response established</x:v>
      </x:c>
      <x:c r="K49" s="57" t="str">
        <x:v>Acute/irritable neural symptoms or symptoms that do not fully settle</x:v>
      </x:c>
      <x:c r="L49" s="57" t="str">
        <x:v>METHOD-MED-TENSION-001</x:v>
      </x:c>
      <x:c r="M49" s="57"/>
      <x:c r="N49" s="57" t="str">
        <x:v>PHASE-006</x:v>
      </x:c>
      <x:c r="O49" s="57"/>
      <x:c r="P49" s="57"/>
      <x:c r="Q49" s="57"/>
      <x:c r="R49" s="57"/>
      <x:c r="S49" s="57"/>
      <x:c r="T49" s="57"/>
      <x:c r="U49" s="57"/>
      <x:c r="V49" s="57"/>
      <x:c r="W49" s="57"/>
      <x:c r="X49" s="57"/>
      <x:c r="Y49" s="57" t="str">
        <x:v>Tensioners are more provocative and should settle completely between movements</x:v>
      </x:c>
      <x:c r="Z49" s="57" t="str">
        <x:v>OK</x:v>
      </x:c>
    </x:row>
    <x:row r="50" ht="15.75" hidden="0" customHeight="1">
      <x:c r="A50" s="57" t="str">
        <x:v>BLUE-ART-NEURO-003</x:v>
      </x:c>
      <x:c r="B50" s="57" t="str">
        <x:v>Sciatic Nerve Slider</x:v>
      </x:c>
      <x:c r="C50" s="57"/>
      <x:c r="D50" s="57" t="str">
        <x:v>Sciatic Slider</x:v>
      </x:c>
      <x:c r="E50" s="57" t="str">
        <x:v>CAT-ART</x:v>
      </x:c>
      <x:c r="F50" s="57" t="str">
        <x:v>Neurodynamic Slider</x:v>
      </x:c>
      <x:c r="G50" s="57" t="str">
        <x:v>TYPE-BLUEPRINT-RECOVERY-ACTIVITY</x:v>
      </x:c>
      <x:c r="H50" s="57"/>
      <x:c r="I50" s="57" t="str">
        <x:v>Improve sciatic/lumbosacral nerve movement with low-irritability sliding</x:v>
      </x:c>
      <x:c r="J50" s="57" t="str">
        <x:v>Posterior chain neural sensitivity when movement is safe and symptoms settle</x:v>
      </x:c>
      <x:c r="K50" s="57" t="str">
        <x:v>Symptoms that linger or flare after movement</x:v>
      </x:c>
      <x:c r="L50" s="57" t="str">
        <x:v>METHOD-SCI-SLIDER-001</x:v>
      </x:c>
      <x:c r="M50" s="57"/>
      <x:c r="N50" s="57" t="str">
        <x:v>PHASE-006</x:v>
      </x:c>
      <x:c r="O50" s="57"/>
      <x:c r="P50" s="57"/>
      <x:c r="Q50" s="57"/>
      <x:c r="R50" s="57"/>
      <x:c r="S50" s="57"/>
      <x:c r="T50" s="57"/>
      <x:c r="U50" s="57"/>
      <x:c r="V50" s="57"/>
      <x:c r="W50" s="57"/>
      <x:c r="X50" s="57"/>
      <x:c r="Y50" s="57" t="str">
        <x:v>Example source pattern includes cervical extension with ankle dorsiflexion / knee extension slider logic</x:v>
      </x:c>
      <x:c r="Z50" s="57" t="str">
        <x:v>OK</x:v>
      </x:c>
    </x:row>
    <x:row r="51" ht="15.75" hidden="0" customHeight="1">
      <x:c r="A51" s="57" t="str">
        <x:v>BLUE-ART-NEURO-004</x:v>
      </x:c>
      <x:c r="B51" s="57" t="str">
        <x:v>Sciatic Nerve Tensioner</x:v>
      </x:c>
      <x:c r="C51" s="57"/>
      <x:c r="D51" s="57" t="str">
        <x:v>Sciatic Tensioner</x:v>
      </x:c>
      <x:c r="E51" s="57" t="str">
        <x:v>CAT-ART</x:v>
      </x:c>
      <x:c r="F51" s="57" t="str">
        <x:v>Neurodynamic Tensioner</x:v>
      </x:c>
      <x:c r="G51" s="57" t="str">
        <x:v>TYPE-BLUEPRINT-RECOVERY-ACTIVITY</x:v>
      </x:c>
      <x:c r="H51" s="57"/>
      <x:c r="I51" s="57" t="str">
        <x:v>Improve sciatic/lumbosacral nerve tolerance to tension</x:v>
      </x:c>
      <x:c r="J51" s="57" t="str">
        <x:v>Low irritability neural restriction after slider response established</x:v>
      </x:c>
      <x:c r="K51" s="57" t="str">
        <x:v>Acute/irritable neural symptoms or symptoms that do not fully settle</x:v>
      </x:c>
      <x:c r="L51" s="57" t="str">
        <x:v>METHOD-SCI-TENSION-001</x:v>
      </x:c>
      <x:c r="M51" s="57"/>
      <x:c r="N51" s="57" t="str">
        <x:v>PHASE-006</x:v>
      </x:c>
      <x:c r="O51" s="57"/>
      <x:c r="P51" s="57"/>
      <x:c r="Q51" s="57"/>
      <x:c r="R51" s="57"/>
      <x:c r="S51" s="57"/>
      <x:c r="T51" s="57"/>
      <x:c r="U51" s="57"/>
      <x:c r="V51" s="57"/>
      <x:c r="W51" s="57"/>
      <x:c r="X51" s="57"/>
      <x:c r="Y51" s="57" t="str">
        <x:v>Tensions both ends; establish 24 hour behaviour before homecare</x:v>
      </x:c>
      <x:c r="Z51" s="57" t="str">
        <x:v>OK</x:v>
      </x:c>
    </x:row>
    <x:row r="52" ht="15.75" hidden="0" customHeight="1">
      <x:c r="A52" s="57" t="str">
        <x:v>BLUE-TREAT-NEURO-001</x:v>
      </x:c>
      <x:c r="B52" s="57" t="str">
        <x:v>Cervical Neural Opener Mobilisation</x:v>
      </x:c>
      <x:c r="C52" s="57"/>
      <x:c r="D52" s="57" t="str">
        <x:v>Cx Neural Opener</x:v>
      </x:c>
      <x:c r="E52" s="57" t="str">
        <x:v>CAT-TREAT</x:v>
      </x:c>
      <x:c r="F52" s="57" t="str">
        <x:v>Neural Opener</x:v>
      </x:c>
      <x:c r="G52" s="57" t="str">
        <x:v>TYPE-BLUEPRINT-TREATMENT-TECHNIQUE</x:v>
      </x:c>
      <x:c r="H52" s="57"/>
      <x:c r="I52" s="57" t="str">
        <x:v>Decrease pressure around sensitised cervical nerve structures</x:v>
      </x:c>
      <x:c r="J52" s="57" t="str">
        <x:v>Cervical nerve root sensitivity, reduced glide, upper limb neural symptoms</x:v>
      </x:c>
      <x:c r="K52" s="57" t="str">
        <x:v>Unstable neurological signs, worsening unexplained symptoms</x:v>
      </x:c>
      <x:c r="L52" s="57" t="str">
        <x:v>METHOD-CX-OPENER-001</x:v>
      </x:c>
      <x:c r="M52" s="57"/>
      <x:c r="N52" s="57" t="str">
        <x:v>PHASE-006</x:v>
      </x:c>
      <x:c r="O52" s="57" t="str">
        <x:v>FLAG-002</x:v>
      </x:c>
      <x:c r="P52" s="57"/>
      <x:c r="Q52" s="57"/>
      <x:c r="R52" s="57"/>
      <x:c r="S52" s="57"/>
      <x:c r="T52" s="57"/>
      <x:c r="U52" s="57"/>
      <x:c r="V52" s="57"/>
      <x:c r="W52" s="57"/>
      <x:c r="X52" s="57"/>
      <x:c r="Y52" s="57" t="str">
        <x:v>Opening technique from source: contralateral lateral flexion with lateral-to-medial glide and optional shoulder depression/neurodynamic position</x:v>
      </x:c>
      <x:c r="Z52" s="57" t="str">
        <x:v>OK</x:v>
      </x:c>
    </x:row>
    <x:row r="53" ht="15.75" hidden="0" customHeight="1">
      <x:c r="A53" s="57" t="str">
        <x:v>BLUE-TREAT-NEURO-002</x:v>
      </x:c>
      <x:c r="B53" s="57" t="str">
        <x:v>Cervical Neural Closer Mobilisation</x:v>
      </x:c>
      <x:c r="C53" s="57"/>
      <x:c r="D53" s="57" t="str">
        <x:v>Cx Neural Closer</x:v>
      </x:c>
      <x:c r="E53" s="57" t="str">
        <x:v>CAT-TREAT</x:v>
      </x:c>
      <x:c r="F53" s="57" t="str">
        <x:v>Neural Closer</x:v>
      </x:c>
      <x:c r="G53" s="57" t="str">
        <x:v>TYPE-BLUEPRINT-TREATMENT-TECHNIQUE</x:v>
      </x:c>
      <x:c r="H53" s="57"/>
      <x:c r="I53" s="57" t="str">
        <x:v>Improve tolerance to closing/compression around nerve structures</x:v>
      </x:c>
      <x:c r="J53" s="57" t="str">
        <x:v>Reduced closing dysfunction with non-irritable symptoms</x:v>
      </x:c>
      <x:c r="K53" s="57" t="str">
        <x:v>Acute/irritable neural tension dysfunction</x:v>
      </x:c>
      <x:c r="L53" s="57" t="str">
        <x:v>METHOD-CX-CLOSER-001</x:v>
      </x:c>
      <x:c r="M53" s="57"/>
      <x:c r="N53" s="57" t="str">
        <x:v>PHASE-006</x:v>
      </x:c>
      <x:c r="O53" s="57"/>
      <x:c r="P53" s="57"/>
      <x:c r="Q53" s="57"/>
      <x:c r="R53" s="57"/>
      <x:c r="S53" s="57"/>
      <x:c r="T53" s="57"/>
      <x:c r="U53" s="57"/>
      <x:c r="V53" s="57"/>
      <x:c r="W53" s="57"/>
      <x:c r="X53" s="57"/>
      <x:c r="Y53" s="57" t="str">
        <x:v>Closing technique from source: ipsilateral lateral flexion with lateral-to-medial glide and optional shoulder depression/neurodynamic position</x:v>
      </x:c>
      <x:c r="Z53" s="57" t="str">
        <x:v>OK</x:v>
      </x:c>
    </x:row>
    <x:row r="54" ht="15.75" hidden="0" customHeight="1">
      <x:c r="A54" s="57" t="str">
        <x:v>BLUE-TREAT-NEURO-003</x:v>
      </x:c>
      <x:c r="B54" s="57" t="str">
        <x:v>Greater Occipital Nerve Manual Mobilisation</x:v>
      </x:c>
      <x:c r="C54" s="57"/>
      <x:c r="D54" s="57" t="str">
        <x:v>GON Manual Mob</x:v>
      </x:c>
      <x:c r="E54" s="57" t="str">
        <x:v>CAT-TREAT</x:v>
      </x:c>
      <x:c r="F54" s="57" t="str">
        <x:v>Manual Nerve Mobilisation</x:v>
      </x:c>
      <x:c r="G54" s="57" t="str">
        <x:v>TYPE-BLUEPRINT-TREATMENT-TECHNIQUE</x:v>
      </x:c>
      <x:c r="H54" s="57"/>
      <x:c r="I54" s="57" t="str">
        <x:v>Assess and mobilise sensitised greater occipital nerve</x:v>
      </x:c>
      <x:c r="J54" s="57" t="str">
        <x:v>Occipital headache, tenderness lateral to external occipital protuberance</x:v>
      </x:c>
      <x:c r="K54" s="57" t="str">
        <x:v>Severe unexplained headache, red flag symptoms, unstable neurological signs</x:v>
      </x:c>
      <x:c r="L54" s="57" t="str">
        <x:v>METHOD-GON-MOB-001</x:v>
      </x:c>
      <x:c r="M54" s="57"/>
      <x:c r="N54" s="57" t="str">
        <x:v>PHASE-006</x:v>
      </x:c>
      <x:c r="O54" s="57" t="str">
        <x:v>FLAG-002</x:v>
      </x:c>
      <x:c r="P54" s="57"/>
      <x:c r="Q54" s="57"/>
      <x:c r="R54" s="57"/>
      <x:c r="S54" s="57"/>
      <x:c r="T54" s="57"/>
      <x:c r="U54" s="57"/>
      <x:c r="V54" s="57"/>
      <x:c r="W54" s="57"/>
      <x:c r="X54" s="57"/>
      <x:c r="Y54" s="57" t="str">
        <x:v>Use rolling/tensioning technique; compare pain, movement and texture bilaterally</x:v>
      </x:c>
      <x:c r="Z54" s="57" t="str">
        <x:v>OK</x:v>
      </x:c>
    </x:row>
    <x:row r="55" ht="15.75" hidden="0" customHeight="1">
      <x:c r="A55" s="57" t="str">
        <x:v>BLUE-TREAT-NEURO-004</x:v>
      </x:c>
      <x:c r="B55" s="57" t="str">
        <x:v>Trigeminal Nerve Manual Mobilisation</x:v>
      </x:c>
      <x:c r="C55" s="57"/>
      <x:c r="D55" s="57" t="str">
        <x:v>Trigeminal Mob</x:v>
      </x:c>
      <x:c r="E55" s="57" t="str">
        <x:v>CAT-TREAT</x:v>
      </x:c>
      <x:c r="F55" s="57" t="str">
        <x:v>Manual Nerve Mobilisation</x:v>
      </x:c>
      <x:c r="G55" s="57" t="str">
        <x:v>TYPE-BLUEPRINT-TREATMENT-TECHNIQUE</x:v>
      </x:c>
      <x:c r="H55" s="57"/>
      <x:c r="I55" s="57" t="str">
        <x:v>Assess and mobilise trigeminal nerve branches around facial pain/headache patterns</x:v>
      </x:c>
      <x:c r="J55" s="57" t="str">
        <x:v>Facial nerve tenderness, headache/migraine symptoms, trigeminal branch sensitivity</x:v>
      </x:c>
      <x:c r="K55" s="57" t="str">
        <x:v>New cranial nerve deficit, severe unexplained headache, unstable neurological signs</x:v>
      </x:c>
      <x:c r="L55" s="57" t="str">
        <x:v>METHOD-TRIG-MOB-001</x:v>
      </x:c>
      <x:c r="M55" s="57"/>
      <x:c r="N55" s="57" t="str">
        <x:v>PHASE-006</x:v>
      </x:c>
      <x:c r="O55" s="57" t="str">
        <x:v>FLAG-002</x:v>
      </x:c>
      <x:c r="P55" s="57"/>
      <x:c r="Q55" s="57"/>
      <x:c r="R55" s="57"/>
      <x:c r="S55" s="57"/>
      <x:c r="T55" s="57"/>
      <x:c r="U55" s="57"/>
      <x:c r="V55" s="57"/>
      <x:c r="W55" s="57"/>
      <x:c r="X55" s="57"/>
      <x:c r="Y55" s="57" t="str">
        <x:v>Palpate nasal cleft, frontal bone, maxilla/zygomatic arch and mandible</x:v>
      </x:c>
      <x:c r="Z55" s="57" t="str">
        <x:v>OK</x:v>
      </x:c>
    </x:row>
    <x:row r="56" ht="15.75" hidden="0" customHeight="1">
      <x:c r="A56" s="57" t="str">
        <x:v>BLUE-TREAT-NEURO-005</x:v>
      </x:c>
      <x:c r="B56" s="57" t="str">
        <x:v>Accessory Nerve Manual Mobilisation</x:v>
      </x:c>
      <x:c r="C56" s="57"/>
      <x:c r="D56" s="57" t="str">
        <x:v>Accessory Mob</x:v>
      </x:c>
      <x:c r="E56" s="57" t="str">
        <x:v>CAT-TREAT</x:v>
      </x:c>
      <x:c r="F56" s="57" t="str">
        <x:v>Manual Nerve Mobilisation</x:v>
      </x:c>
      <x:c r="G56" s="57" t="str">
        <x:v>TYPE-BLUEPRINT-TREATMENT-TECHNIQUE</x:v>
      </x:c>
      <x:c r="H56" s="57"/>
      <x:c r="I56" s="57" t="str">
        <x:v>Assess and mobilise accessory nerve near superior scapular region</x:v>
      </x:c>
      <x:c r="J56" s="57" t="str">
        <x:v>Upper trapezius/SCM-related neural sensitivity, accessory nerve tenderness</x:v>
      </x:c>
      <x:c r="K56" s="57" t="str">
        <x:v>Unstable neurological signs or severe unexplained symptoms</x:v>
      </x:c>
      <x:c r="L56" s="57" t="str">
        <x:v>METHOD-ACC-MOB-001</x:v>
      </x:c>
      <x:c r="M56" s="57"/>
      <x:c r="N56" s="57" t="str">
        <x:v>PHASE-006</x:v>
      </x:c>
      <x:c r="O56" s="57"/>
      <x:c r="P56" s="57"/>
      <x:c r="Q56" s="57"/>
      <x:c r="R56" s="57"/>
      <x:c r="S56" s="57"/>
      <x:c r="T56" s="57"/>
      <x:c r="U56" s="57"/>
      <x:c r="V56" s="57"/>
      <x:c r="W56" s="57"/>
      <x:c r="X56" s="57"/>
      <x:c r="Y56" s="57" t="str">
        <x:v>Find nerve superior to superior angle of scapula; use rolling/tensioning with active cervical movement if appropriate</x:v>
      </x:c>
      <x:c r="Z56" s="57" t="str">
        <x:v>OK</x:v>
      </x:c>
    </x:row>
    <x:row r="57" ht="15.75" hidden="0" customHeight="1">
      <x:c r="A57" s="57" t="str">
        <x:v>BLUE-TREAT-NEURO-006</x:v>
      </x:c>
      <x:c r="B57" s="57" t="str">
        <x:v>Brachial Plexus Manual Mobilisation</x:v>
      </x:c>
      <x:c r="C57" s="57"/>
      <x:c r="D57" s="57" t="str">
        <x:v>Brachial Plexus Mob</x:v>
      </x:c>
      <x:c r="E57" s="57" t="str">
        <x:v>CAT-TREAT</x:v>
      </x:c>
      <x:c r="F57" s="57" t="str">
        <x:v>Manual Nerve Mobilisation</x:v>
      </x:c>
      <x:c r="G57" s="57" t="str">
        <x:v>TYPE-BLUEPRINT-TREATMENT-TECHNIQUE</x:v>
      </x:c>
      <x:c r="H57" s="57"/>
      <x:c r="I57" s="57" t="str">
        <x:v>Assess and mobilise brachial plexus/upper limb nerve trunk sensitivity</x:v>
      </x:c>
      <x:c r="J57" s="57" t="str">
        <x:v>Cervical radiculopathy features, thoracic outlet features, post shoulder/breast surgery sensitivity with caution</x:v>
      </x:c>
      <x:c r="K57" s="57" t="str">
        <x:v>Unstable neurological signs, severe neural irritability, contraindicated post-surgical precautions</x:v>
      </x:c>
      <x:c r="L57" s="57" t="str">
        <x:v>METHOD-BP-MOB-001</x:v>
      </x:c>
      <x:c r="M57" s="57"/>
      <x:c r="N57" s="57" t="str">
        <x:v>PHASE-006</x:v>
      </x:c>
      <x:c r="O57" s="57" t="str">
        <x:v>FLAG-002</x:v>
      </x:c>
      <x:c r="P57" s="57"/>
      <x:c r="Q57" s="57"/>
      <x:c r="R57" s="57"/>
      <x:c r="S57" s="57"/>
      <x:c r="T57" s="57"/>
      <x:c r="U57" s="57"/>
      <x:c r="V57" s="57"/>
      <x:c r="W57" s="57"/>
      <x:c r="X57" s="57"/>
      <x:c r="Y57" s="57" t="str">
        <x:v>Source notes brachial plexus and upper limb nerve trunk tenderness correlates with cervical radiculopathy and TOS</x:v>
      </x:c>
      <x:c r="Z57" s="57" t="str">
        <x:v>OK</x:v>
      </x:c>
    </x:row>
    <x:row r="58" ht="15.75" hidden="0" customHeight="1">
      <x:c r="A58" s="57" t="str">
        <x:v>BLUE-ART-NEURO-005</x:v>
      </x:c>
      <x:c r="B58" s="57" t="str">
        <x:v>Radial Nerve Slider</x:v>
      </x:c>
      <x:c r="C58" s="57"/>
      <x:c r="D58" s="57"/>
      <x:c r="E58" s="57" t="str">
        <x:v>CAT-ART</x:v>
      </x:c>
      <x:c r="F58" s="57" t="str">
        <x:v>Neurodynamic Slider</x:v>
      </x:c>
      <x:c r="G58" s="57" t="str">
        <x:v>TYPE-BLUEPRINT-RECOVERY-ACTIVITY</x:v>
      </x:c>
      <x:c r="H58" s="57"/>
      <x:c r="I58" s="57"/>
      <x:c r="J58" s="57"/>
      <x:c r="K58" s="57"/>
      <x:c r="L58" s="57"/>
      <x:c r="M58" s="57"/>
      <x:c r="N58" s="57"/>
      <x:c r="O58" s="57"/>
      <x:c r="P58" s="57"/>
      <x:c r="Q58" s="57"/>
      <x:c r="R58" s="57"/>
      <x:c r="S58" s="57"/>
      <x:c r="T58" s="57"/>
      <x:c r="U58" s="57"/>
      <x:c r="V58" s="57"/>
      <x:c r="W58" s="57"/>
      <x:c r="X58" s="57"/>
      <x:c r="Y58" s="57"/>
      <x:c r="Z58" s="57" t="str">
        <x:v>OK</x:v>
      </x:c>
    </x:row>
    <x:row r="59" ht="15.75" hidden="0" customHeight="1">
      <x:c r="A59" s="57" t="str">
        <x:v>BLUE-ART-NEURO-006</x:v>
      </x:c>
      <x:c r="B59" s="57" t="str">
        <x:v>Radial Nerve Tensioner</x:v>
      </x:c>
      <x:c r="C59" s="57"/>
      <x:c r="D59" s="57"/>
      <x:c r="E59" s="57" t="str">
        <x:v>CAT-ART</x:v>
      </x:c>
      <x:c r="F59" s="57" t="str">
        <x:v>Neurodynamic Tensioner</x:v>
      </x:c>
      <x:c r="G59" s="57" t="str">
        <x:v>TYPE-BLUEPRINT-RECOVERY-ACTIVITY</x:v>
      </x:c>
      <x:c r="H59" s="57"/>
      <x:c r="I59" s="57"/>
      <x:c r="J59" s="57"/>
      <x:c r="K59" s="57"/>
      <x:c r="L59" s="57"/>
      <x:c r="M59" s="57"/>
      <x:c r="N59" s="57"/>
      <x:c r="O59" s="57"/>
      <x:c r="P59" s="57"/>
      <x:c r="Q59" s="57"/>
      <x:c r="R59" s="57"/>
      <x:c r="S59" s="57"/>
      <x:c r="T59" s="57"/>
      <x:c r="U59" s="57"/>
      <x:c r="V59" s="57"/>
      <x:c r="W59" s="57"/>
      <x:c r="X59" s="57"/>
      <x:c r="Y59" s="57"/>
      <x:c r="Z59" s="57" t="str">
        <x:v>OK</x:v>
      </x:c>
    </x:row>
    <x:row r="60" ht="15.75" hidden="0" customHeight="1">
      <x:c r="A60" s="57" t="str">
        <x:v>BLUE-ART-NEURO-007</x:v>
      </x:c>
      <x:c r="B60" s="57" t="str">
        <x:v>Ulnar Nerve Slider</x:v>
      </x:c>
      <x:c r="C60" s="57"/>
      <x:c r="D60" s="57"/>
      <x:c r="E60" s="57" t="str">
        <x:v>CAT-ART</x:v>
      </x:c>
      <x:c r="F60" s="57" t="str">
        <x:v>Neurodynamic Slider</x:v>
      </x:c>
      <x:c r="G60" s="57" t="str">
        <x:v>TYPE-BLUEPRINT-RECOVERY-ACTIVITY</x:v>
      </x:c>
      <x:c r="H60" s="57"/>
      <x:c r="I60" s="57"/>
      <x:c r="J60" s="57"/>
      <x:c r="K60" s="57"/>
      <x:c r="L60" s="57"/>
      <x:c r="M60" s="57"/>
      <x:c r="N60" s="57"/>
      <x:c r="O60" s="57"/>
      <x:c r="P60" s="57"/>
      <x:c r="Q60" s="57"/>
      <x:c r="R60" s="57"/>
      <x:c r="S60" s="57"/>
      <x:c r="T60" s="57"/>
      <x:c r="U60" s="57"/>
      <x:c r="V60" s="57"/>
      <x:c r="W60" s="57"/>
      <x:c r="X60" s="57"/>
      <x:c r="Y60" s="57"/>
      <x:c r="Z60" s="57" t="str">
        <x:v>OK</x:v>
      </x:c>
    </x:row>
    <x:row r="61" ht="15.75" hidden="0" customHeight="1">
      <x:c r="A61" s="57" t="str">
        <x:v>BLUE-ART-NEURO-008</x:v>
      </x:c>
      <x:c r="B61" s="57" t="str">
        <x:v>Ulnar Nerve Tensioner</x:v>
      </x:c>
      <x:c r="C61" s="57"/>
      <x:c r="D61" s="57"/>
      <x:c r="E61" s="57" t="str">
        <x:v>CAT-ART</x:v>
      </x:c>
      <x:c r="F61" s="57" t="str">
        <x:v>Neurodynamic Tensioner</x:v>
      </x:c>
      <x:c r="G61" s="57" t="str">
        <x:v>TYPE-BLUEPRINT-RECOVERY-ACTIVITY</x:v>
      </x:c>
      <x:c r="H61" s="57"/>
      <x:c r="I61" s="57"/>
      <x:c r="J61" s="57"/>
      <x:c r="K61" s="57"/>
      <x:c r="L61" s="57"/>
      <x:c r="M61" s="57"/>
      <x:c r="N61" s="57"/>
      <x:c r="O61" s="57"/>
      <x:c r="P61" s="57"/>
      <x:c r="Q61" s="57"/>
      <x:c r="R61" s="57"/>
      <x:c r="S61" s="57"/>
      <x:c r="T61" s="57"/>
      <x:c r="U61" s="57"/>
      <x:c r="V61" s="57"/>
      <x:c r="W61" s="57"/>
      <x:c r="X61" s="57"/>
      <x:c r="Y61" s="57"/>
      <x:c r="Z61" s="57" t="str">
        <x:v>OK</x:v>
      </x:c>
    </x:row>
    <x:row r="62" ht="15.75" hidden="0" customHeight="1">
      <x:c r="A62" s="57" t="str">
        <x:v>BLUE-ART-NEURO-009</x:v>
      </x:c>
      <x:c r="B62" s="57" t="str">
        <x:v>Femoral Nerve Slider</x:v>
      </x:c>
      <x:c r="C62" s="57"/>
      <x:c r="D62" s="57"/>
      <x:c r="E62" s="57" t="str">
        <x:v>CAT-ART</x:v>
      </x:c>
      <x:c r="F62" s="57" t="str">
        <x:v>Neurodynamic Slider</x:v>
      </x:c>
      <x:c r="G62" s="57" t="str">
        <x:v>TYPE-BLUEPRINT-RECOVERY-ACTIVITY</x:v>
      </x:c>
      <x:c r="H62" s="57"/>
      <x:c r="I62" s="57"/>
      <x:c r="J62" s="57"/>
      <x:c r="K62" s="57"/>
      <x:c r="L62" s="57"/>
      <x:c r="M62" s="57"/>
      <x:c r="N62" s="57"/>
      <x:c r="O62" s="57"/>
      <x:c r="P62" s="57"/>
      <x:c r="Q62" s="57"/>
      <x:c r="R62" s="57"/>
      <x:c r="S62" s="57"/>
      <x:c r="T62" s="57"/>
      <x:c r="U62" s="57"/>
      <x:c r="V62" s="57"/>
      <x:c r="W62" s="57"/>
      <x:c r="X62" s="57"/>
      <x:c r="Y62" s="57"/>
      <x:c r="Z62" s="57" t="str">
        <x:v>OK</x:v>
      </x:c>
    </x:row>
    <x:row r="63" ht="15.75" hidden="0" customHeight="1">
      <x:c r="A63" s="57" t="str">
        <x:v>BLUE-ART-NEURO-010</x:v>
      </x:c>
      <x:c r="B63" s="57" t="str">
        <x:v>Femoral Nerve Tensioner</x:v>
      </x:c>
      <x:c r="C63" s="57"/>
      <x:c r="D63" s="57"/>
      <x:c r="E63" s="57" t="str">
        <x:v>CAT-ART</x:v>
      </x:c>
      <x:c r="F63" s="57" t="str">
        <x:v>Neurodynamic Tensioner</x:v>
      </x:c>
      <x:c r="G63" s="57" t="str">
        <x:v>TYPE-BLUEPRINT-RECOVERY-ACTIVITY</x:v>
      </x:c>
      <x:c r="H63" s="57"/>
      <x:c r="I63" s="57"/>
      <x:c r="J63" s="57"/>
      <x:c r="K63" s="57"/>
      <x:c r="L63" s="57"/>
      <x:c r="M63" s="57"/>
      <x:c r="N63" s="57"/>
      <x:c r="O63" s="57"/>
      <x:c r="P63" s="57"/>
      <x:c r="Q63" s="57"/>
      <x:c r="R63" s="57"/>
      <x:c r="S63" s="57"/>
      <x:c r="T63" s="57"/>
      <x:c r="U63" s="57"/>
      <x:c r="V63" s="57"/>
      <x:c r="W63" s="57"/>
      <x:c r="X63" s="57"/>
      <x:c r="Y63" s="57"/>
      <x:c r="Z63" s="57" t="str">
        <x:v>OK</x:v>
      </x:c>
    </x:row>
    <x:row r="64" ht="15.75" hidden="0" customHeight="1">
      <x:c r="A64" s="57" t="str">
        <x:v>BLUE-TREAT-NEURO-007</x:v>
      </x:c>
      <x:c r="B64" s="57" t="str">
        <x:v>Scalene Neural Interface Release</x:v>
      </x:c>
      <x:c r="C64" s="57"/>
      <x:c r="D64" s="57"/>
      <x:c r="E64" s="57" t="str">
        <x:v>CAT-TREAT</x:v>
      </x:c>
      <x:c r="F64" s="57" t="str">
        <x:v>Neural Interface</x:v>
      </x:c>
      <x:c r="G64" s="57" t="str">
        <x:v>TYPE-BLUEPRINT-TREATMENT-TECHNIQUE</x:v>
      </x:c>
      <x:c r="H64" s="57"/>
      <x:c r="I64" s="57"/>
      <x:c r="J64" s="57"/>
      <x:c r="K64" s="57"/>
      <x:c r="L64" s="57"/>
      <x:c r="M64" s="57"/>
      <x:c r="N64" s="57"/>
      <x:c r="O64" s="57"/>
      <x:c r="P64" s="57"/>
      <x:c r="Q64" s="57"/>
      <x:c r="R64" s="57"/>
      <x:c r="S64" s="57"/>
      <x:c r="T64" s="57"/>
      <x:c r="U64" s="57"/>
      <x:c r="V64" s="57"/>
      <x:c r="W64" s="57"/>
      <x:c r="X64" s="57"/>
      <x:c r="Y64" s="57"/>
      <x:c r="Z64" s="57" t="str">
        <x:v>OK</x:v>
      </x:c>
    </x:row>
    <x:row r="65" ht="15.75" hidden="0" customHeight="1">
      <x:c r="A65" s="57" t="str">
        <x:v>BLUE-TREAT-NEURO-008</x:v>
      </x:c>
      <x:c r="B65" s="57" t="str">
        <x:v>Pec Minor Neural Interface Release</x:v>
      </x:c>
      <x:c r="C65" s="57"/>
      <x:c r="D65" s="57"/>
      <x:c r="E65" s="57" t="str">
        <x:v>CAT-TREAT</x:v>
      </x:c>
      <x:c r="F65" s="57" t="str">
        <x:v>Neural Interface</x:v>
      </x:c>
      <x:c r="G65" s="57" t="str">
        <x:v>TYPE-BLUEPRINT-TREATMENT-TECHNIQUE</x:v>
      </x:c>
      <x:c r="H65" s="57"/>
      <x:c r="I65" s="57"/>
      <x:c r="J65" s="57"/>
      <x:c r="K65" s="57"/>
      <x:c r="L65" s="57"/>
      <x:c r="M65" s="57"/>
      <x:c r="N65" s="57"/>
      <x:c r="O65" s="57"/>
      <x:c r="P65" s="57"/>
      <x:c r="Q65" s="57"/>
      <x:c r="R65" s="57"/>
      <x:c r="S65" s="57"/>
      <x:c r="T65" s="57"/>
      <x:c r="U65" s="57"/>
      <x:c r="V65" s="57"/>
      <x:c r="W65" s="57"/>
      <x:c r="X65" s="57"/>
      <x:c r="Y65" s="57"/>
      <x:c r="Z65" s="57" t="str">
        <x:v>OK</x:v>
      </x:c>
    </x:row>
    <x:row r="66" ht="15.75" hidden="0" customHeight="1">
      <x:c r="A66" s="57" t="str">
        <x:v>BLUE-TREAT-NEURO-009</x:v>
      </x:c>
      <x:c r="B66" s="57" t="str">
        <x:v>Pronator Teres Neural Interface Release</x:v>
      </x:c>
      <x:c r="C66" s="57"/>
      <x:c r="D66" s="57"/>
      <x:c r="E66" s="57" t="str">
        <x:v>CAT-TREAT</x:v>
      </x:c>
      <x:c r="F66" s="57" t="str">
        <x:v>Neural Interface</x:v>
      </x:c>
      <x:c r="G66" s="57" t="str">
        <x:v>TYPE-BLUEPRINT-TREATMENT-TECHNIQUE</x:v>
      </x:c>
      <x:c r="H66" s="57"/>
      <x:c r="I66" s="57"/>
      <x:c r="J66" s="57"/>
      <x:c r="K66" s="57"/>
      <x:c r="L66" s="57"/>
      <x:c r="M66" s="57"/>
      <x:c r="N66" s="57"/>
      <x:c r="O66" s="57"/>
      <x:c r="P66" s="57"/>
      <x:c r="Q66" s="57"/>
      <x:c r="R66" s="57"/>
      <x:c r="S66" s="57"/>
      <x:c r="T66" s="57"/>
      <x:c r="U66" s="57"/>
      <x:c r="V66" s="57"/>
      <x:c r="W66" s="57"/>
      <x:c r="X66" s="57"/>
      <x:c r="Y66" s="57"/>
      <x:c r="Z66" s="57" t="str">
        <x:v>OK</x:v>
      </x:c>
    </x:row>
    <x:row r="67" ht="15.75" hidden="0" customHeight="1">
      <x:c r="A67" s="57" t="str">
        <x:v>BLUE-TREAT-NEURO-010</x:v>
      </x:c>
      <x:c r="B67" s="57" t="str">
        <x:v>Supinator Neural Interface Release</x:v>
      </x:c>
      <x:c r="C67" s="57"/>
      <x:c r="D67" s="57"/>
      <x:c r="E67" s="57" t="str">
        <x:v>CAT-TREAT</x:v>
      </x:c>
      <x:c r="F67" s="57" t="str">
        <x:v>Neural Interface</x:v>
      </x:c>
      <x:c r="G67" s="57" t="str">
        <x:v>TYPE-BLUEPRINT-TREATMENT-TECHNIQUE</x:v>
      </x:c>
      <x:c r="H67" s="57"/>
      <x:c r="I67" s="57"/>
      <x:c r="J67" s="57"/>
      <x:c r="K67" s="57"/>
      <x:c r="L67" s="57"/>
      <x:c r="M67" s="57"/>
      <x:c r="N67" s="57"/>
      <x:c r="O67" s="57"/>
      <x:c r="P67" s="57"/>
      <x:c r="Q67" s="57"/>
      <x:c r="R67" s="57"/>
      <x:c r="S67" s="57"/>
      <x:c r="T67" s="57"/>
      <x:c r="U67" s="57"/>
      <x:c r="V67" s="57"/>
      <x:c r="W67" s="57"/>
      <x:c r="X67" s="57"/>
      <x:c r="Y67" s="57"/>
      <x:c r="Z67" s="57" t="str">
        <x:v>OK</x:v>
      </x:c>
    </x:row>
    <x:row r="68" ht="15.75" hidden="0" customHeight="1">
      <x:c r="A68" s="57" t="str">
        <x:v>BLUE-TREAT-NEURO-011</x:v>
      </x:c>
      <x:c r="B68" s="57" t="str">
        <x:v>Piriformis Neural Interface Release</x:v>
      </x:c>
      <x:c r="C68" s="57"/>
      <x:c r="D68" s="57"/>
      <x:c r="E68" s="57" t="str">
        <x:v>CAT-TREAT</x:v>
      </x:c>
      <x:c r="F68" s="57" t="str">
        <x:v>Neural Interface</x:v>
      </x:c>
      <x:c r="G68" s="57" t="str">
        <x:v>TYPE-BLUEPRINT-TREATMENT-TECHNIQUE</x:v>
      </x:c>
      <x:c r="H68" s="57"/>
      <x:c r="I68" s="57"/>
      <x:c r="J68" s="57"/>
      <x:c r="K68" s="57"/>
      <x:c r="L68" s="57"/>
      <x:c r="M68" s="57"/>
      <x:c r="N68" s="57"/>
      <x:c r="O68" s="57"/>
      <x:c r="P68" s="57"/>
      <x:c r="Q68" s="57"/>
      <x:c r="R68" s="57"/>
      <x:c r="S68" s="57"/>
      <x:c r="T68" s="57"/>
      <x:c r="U68" s="57"/>
      <x:c r="V68" s="57"/>
      <x:c r="W68" s="57"/>
      <x:c r="X68" s="57"/>
      <x:c r="Y68" s="57"/>
      <x:c r="Z68" s="57" t="str">
        <x:v>OK</x:v>
      </x:c>
    </x:row>
    <x:row r="69" ht="15.75" hidden="0" customHeight="1">
      <x:c r="A69" s="57" t="str">
        <x:v>BLUE-TREAT-NEURO-012</x:v>
      </x:c>
      <x:c r="B69" s="57" t="str">
        <x:v>Tarsal Tunnel Neural Interface Release</x:v>
      </x:c>
      <x:c r="C69" s="57"/>
      <x:c r="D69" s="57"/>
      <x:c r="E69" s="57" t="str">
        <x:v>CAT-TREAT</x:v>
      </x:c>
      <x:c r="F69" s="57" t="str">
        <x:v>Neural Interface</x:v>
      </x:c>
      <x:c r="G69" s="57" t="str">
        <x:v>TYPE-BLUEPRINT-TREATMENT-TECHNIQUE</x:v>
      </x:c>
      <x:c r="H69" s="57"/>
      <x:c r="I69" s="57"/>
      <x:c r="J69" s="57"/>
      <x:c r="K69" s="57"/>
      <x:c r="L69" s="57"/>
      <x:c r="M69" s="57"/>
      <x:c r="N69" s="57"/>
      <x:c r="O69" s="57"/>
      <x:c r="P69" s="57"/>
      <x:c r="Q69" s="57"/>
      <x:c r="R69" s="57"/>
      <x:c r="S69" s="57"/>
      <x:c r="T69" s="57"/>
      <x:c r="U69" s="57"/>
      <x:c r="V69" s="57"/>
      <x:c r="W69" s="57"/>
      <x:c r="X69" s="57"/>
      <x:c r="Y69" s="57"/>
      <x:c r="Z69" s="57" t="str">
        <x:v>OK</x:v>
      </x:c>
    </x:row>
    <x:row r="70" ht="15.75" hidden="0" customHeight="1">
      <x:c r="A70" s="57" t="str">
        <x:v>BLUE-FUNC-001</x:v>
      </x:c>
      <x:c r="B70" s="57" t="str">
        <x:v>Gait Assessment</x:v>
      </x:c>
      <x:c r="C70" s="57"/>
      <x:c r="D70" s="57"/>
      <x:c r="E70" s="57" t="str">
        <x:v>CAT-TEST</x:v>
      </x:c>
      <x:c r="F70" s="57" t="str">
        <x:v>Functional Assessment</x:v>
      </x:c>
      <x:c r="G70" s="57" t="str">
        <x:v>TYPE-BLUEPRINT-CLINICAL-TEST</x:v>
      </x:c>
      <x:c r="H70" s="57"/>
      <x:c r="I70" s="57" t="str">
        <x:v>Assess walking pattern and movement quality</x:v>
      </x:c>
      <x:c r="J70" s="57"/>
      <x:c r="K70" s="57"/>
      <x:c r="L70" s="57"/>
      <x:c r="M70" s="57"/>
      <x:c r="N70" s="57"/>
      <x:c r="O70" s="57"/>
      <x:c r="P70" s="57"/>
      <x:c r="Q70" s="57"/>
      <x:c r="R70" s="57"/>
      <x:c r="S70" s="57"/>
      <x:c r="T70" s="57"/>
      <x:c r="U70" s="57"/>
      <x:c r="V70" s="57"/>
      <x:c r="W70" s="57"/>
      <x:c r="X70" s="57"/>
      <x:c r="Y70" s="57"/>
      <x:c r="Z70" s="57" t="str">
        <x:v>OK</x:v>
      </x:c>
    </x:row>
    <x:row r="71" ht="15.75" hidden="0" customHeight="1">
      <x:c r="A71" s="57" t="str">
        <x:v>BLUE-FUNC-002</x:v>
      </x:c>
      <x:c r="B71" s="57" t="str">
        <x:v>Sit To Stand</x:v>
      </x:c>
      <x:c r="C71" s="57"/>
      <x:c r="D71" s="57"/>
      <x:c r="E71" s="57" t="str">
        <x:v>CAT-TEST</x:v>
      </x:c>
      <x:c r="F71" s="57" t="str">
        <x:v>Functional Assessment</x:v>
      </x:c>
      <x:c r="G71" s="57" t="str">
        <x:v>TYPE-BLUEPRINT-CLINICAL-TEST</x:v>
      </x:c>
      <x:c r="H71" s="57"/>
      <x:c r="I71" s="57" t="str">
        <x:v>Assess lower limb strength and function</x:v>
      </x:c>
      <x:c r="J71" s="57"/>
      <x:c r="K71" s="57"/>
      <x:c r="L71" s="57"/>
      <x:c r="M71" s="57"/>
      <x:c r="N71" s="57"/>
      <x:c r="O71" s="57"/>
      <x:c r="P71" s="57"/>
      <x:c r="Q71" s="57"/>
      <x:c r="R71" s="57"/>
      <x:c r="S71" s="57"/>
      <x:c r="T71" s="57"/>
      <x:c r="U71" s="57"/>
      <x:c r="V71" s="57"/>
      <x:c r="W71" s="57"/>
      <x:c r="X71" s="57"/>
      <x:c r="Y71" s="57"/>
      <x:c r="Z71" s="57" t="str">
        <x:v>OK</x:v>
      </x:c>
    </x:row>
    <x:row r="72" ht="15.75" hidden="0" customHeight="1">
      <x:c r="A72" s="57" t="str">
        <x:v>BLUE-FUNC-003</x:v>
      </x:c>
      <x:c r="B72" s="57" t="str">
        <x:v>Single Leg Balance</x:v>
      </x:c>
      <x:c r="C72" s="57"/>
      <x:c r="D72" s="57"/>
      <x:c r="E72" s="57" t="str">
        <x:v>CAT-TEST</x:v>
      </x:c>
      <x:c r="F72" s="57" t="str">
        <x:v>Functional Assessment</x:v>
      </x:c>
      <x:c r="G72" s="57" t="str">
        <x:v>TYPE-BLUEPRINT-CLINICAL-TEST</x:v>
      </x:c>
      <x:c r="H72" s="57" t="str">
        <x:v>sec</x:v>
      </x:c>
      <x:c r="I72" s="57" t="str">
        <x:v>Assess balance and lower limb control</x:v>
      </x:c>
      <x:c r="J72" s="57"/>
      <x:c r="K72" s="57"/>
      <x:c r="L72" s="57"/>
      <x:c r="M72" s="57"/>
      <x:c r="N72" s="57"/>
      <x:c r="O72" s="57"/>
      <x:c r="P72" s="57"/>
      <x:c r="Q72" s="57"/>
      <x:c r="R72" s="57"/>
      <x:c r="S72" s="57"/>
      <x:c r="T72" s="57"/>
      <x:c r="U72" s="57"/>
      <x:c r="V72" s="57"/>
      <x:c r="W72" s="57"/>
      <x:c r="X72" s="57"/>
      <x:c r="Y72" s="57"/>
      <x:c r="Z72" s="57" t="str">
        <x:v>OK</x:v>
      </x:c>
    </x:row>
    <x:row r="73" ht="15.75" hidden="0" customHeight="1">
      <x:c r="A73" s="57" t="str">
        <x:v>BLUE-FUNC-004</x:v>
      </x:c>
      <x:c r="B73" s="57" t="str">
        <x:v>Squat Assessment</x:v>
      </x:c>
      <x:c r="C73" s="57"/>
      <x:c r="D73" s="57"/>
      <x:c r="E73" s="57" t="str">
        <x:v>CAT-TEST</x:v>
      </x:c>
      <x:c r="F73" s="57" t="str">
        <x:v>Functional Assessment</x:v>
      </x:c>
      <x:c r="G73" s="57" t="str">
        <x:v>TYPE-BLUEPRINT-CLINICAL-TEST</x:v>
      </x:c>
      <x:c r="H73" s="57"/>
      <x:c r="I73" s="57" t="str">
        <x:v>Assess lower quarter movement pattern</x:v>
      </x:c>
      <x:c r="J73" s="57"/>
      <x:c r="K73" s="57"/>
      <x:c r="L73" s="57"/>
      <x:c r="M73" s="57"/>
      <x:c r="N73" s="57"/>
      <x:c r="O73" s="57"/>
      <x:c r="P73" s="57"/>
      <x:c r="Q73" s="57"/>
      <x:c r="R73" s="57"/>
      <x:c r="S73" s="57"/>
      <x:c r="T73" s="57"/>
      <x:c r="U73" s="57"/>
      <x:c r="V73" s="57"/>
      <x:c r="W73" s="57"/>
      <x:c r="X73" s="57"/>
      <x:c r="Y73" s="57"/>
      <x:c r="Z73" s="57" t="str">
        <x:v>OK</x:v>
      </x:c>
    </x:row>
    <x:row r="74" ht="15.75" hidden="0" customHeight="1">
      <x:c r="A74" s="57" t="str">
        <x:v>BLUE-FUNC-005</x:v>
      </x:c>
      <x:c r="B74" s="57" t="str">
        <x:v>Step Down Assessment</x:v>
      </x:c>
      <x:c r="C74" s="57"/>
      <x:c r="D74" s="57"/>
      <x:c r="E74" s="57" t="str">
        <x:v>CAT-TEST</x:v>
      </x:c>
      <x:c r="F74" s="57" t="str">
        <x:v>Functional Assessment</x:v>
      </x:c>
      <x:c r="G74" s="57" t="str">
        <x:v>TYPE-BLUEPRINT-CLINICAL-TEST</x:v>
      </x:c>
      <x:c r="H74" s="57"/>
      <x:c r="I74" s="57" t="str">
        <x:v>Assess dynamic lower limb control</x:v>
      </x:c>
      <x:c r="J74" s="57"/>
      <x:c r="K74" s="57"/>
      <x:c r="L74" s="57"/>
      <x:c r="M74" s="57"/>
      <x:c r="N74" s="57"/>
      <x:c r="O74" s="57"/>
      <x:c r="P74" s="57"/>
      <x:c r="Q74" s="57"/>
      <x:c r="R74" s="57"/>
      <x:c r="S74" s="57"/>
      <x:c r="T74" s="57"/>
      <x:c r="U74" s="57"/>
      <x:c r="V74" s="57"/>
      <x:c r="W74" s="57"/>
      <x:c r="X74" s="57"/>
      <x:c r="Y74" s="57"/>
      <x:c r="Z74" s="57" t="str">
        <x:v>OK</x:v>
      </x:c>
    </x:row>
    <x:row r="75" ht="15.75" hidden="0" customHeight="1">
      <x:c r="A75" s="57" t="str">
        <x:v>BLUE-FUNC-006</x:v>
      </x:c>
      <x:c r="B75" s="57" t="str">
        <x:v>Hip Hinge Assessment</x:v>
      </x:c>
      <x:c r="C75" s="57"/>
      <x:c r="D75" s="57"/>
      <x:c r="E75" s="57" t="str">
        <x:v>CAT-TEST</x:v>
      </x:c>
      <x:c r="F75" s="57" t="str">
        <x:v>Functional Assessment</x:v>
      </x:c>
      <x:c r="G75" s="57" t="str">
        <x:v>TYPE-BLUEPRINT-CLINICAL-TEST</x:v>
      </x:c>
      <x:c r="H75" s="57"/>
      <x:c r="I75" s="57" t="str">
        <x:v>Assess lumbopelvic movement strategy</x:v>
      </x:c>
      <x:c r="J75" s="57"/>
      <x:c r="K75" s="57"/>
      <x:c r="L75" s="57"/>
      <x:c r="M75" s="57"/>
      <x:c r="N75" s="57"/>
      <x:c r="O75" s="57"/>
      <x:c r="P75" s="57"/>
      <x:c r="Q75" s="57"/>
      <x:c r="R75" s="57"/>
      <x:c r="S75" s="57"/>
      <x:c r="T75" s="57"/>
      <x:c r="U75" s="57"/>
      <x:c r="V75" s="57"/>
      <x:c r="W75" s="57"/>
      <x:c r="X75" s="57"/>
      <x:c r="Y75" s="57"/>
      <x:c r="Z75" s="57" t="str">
        <x:v>OK</x:v>
      </x:c>
    </x:row>
    <x:row r="76" ht="15.75" hidden="0" customHeight="1">
      <x:c r="A76" s="57" t="str">
        <x:v>BLUE-FUNC-007</x:v>
      </x:c>
      <x:c r="B76" s="57" t="str">
        <x:v>Forward Bend Assessment</x:v>
      </x:c>
      <x:c r="C76" s="57"/>
      <x:c r="D76" s="57"/>
      <x:c r="E76" s="57" t="str">
        <x:v>CAT-TEST</x:v>
      </x:c>
      <x:c r="F76" s="57" t="str">
        <x:v>Functional Assessment</x:v>
      </x:c>
      <x:c r="G76" s="57" t="str">
        <x:v>TYPE-BLUEPRINT-CLINICAL-TEST</x:v>
      </x:c>
      <x:c r="H76" s="57"/>
      <x:c r="I76" s="57" t="str">
        <x:v>Assess functional flexion</x:v>
      </x:c>
      <x:c r="J76" s="57"/>
      <x:c r="K76" s="57"/>
      <x:c r="L76" s="57"/>
      <x:c r="M76" s="57"/>
      <x:c r="N76" s="57"/>
      <x:c r="O76" s="57"/>
      <x:c r="P76" s="57"/>
      <x:c r="Q76" s="57"/>
      <x:c r="R76" s="57"/>
      <x:c r="S76" s="57"/>
      <x:c r="T76" s="57"/>
      <x:c r="U76" s="57"/>
      <x:c r="V76" s="57"/>
      <x:c r="W76" s="57"/>
      <x:c r="X76" s="57"/>
      <x:c r="Y76" s="57"/>
      <x:c r="Z76" s="57" t="str">
        <x:v>OK</x:v>
      </x:c>
    </x:row>
    <x:row r="77" ht="15.75" hidden="0" customHeight="1">
      <x:c r="A77" s="57" t="str">
        <x:v>BLUE-FUNC-008</x:v>
      </x:c>
      <x:c r="B77" s="57" t="str">
        <x:v>Overhead Reach Assessment</x:v>
      </x:c>
      <x:c r="C77" s="57"/>
      <x:c r="D77" s="57"/>
      <x:c r="E77" s="57" t="str">
        <x:v>CAT-TEST</x:v>
      </x:c>
      <x:c r="F77" s="57" t="str">
        <x:v>Functional Assessment</x:v>
      </x:c>
      <x:c r="G77" s="57" t="str">
        <x:v>TYPE-BLUEPRINT-CLINICAL-TEST</x:v>
      </x:c>
      <x:c r="H77" s="57"/>
      <x:c r="I77" s="57" t="str">
        <x:v>Assess shoulder and thoracic function</x:v>
      </x:c>
      <x:c r="J77" s="57"/>
      <x:c r="K77" s="57"/>
      <x:c r="L77" s="57"/>
      <x:c r="M77" s="57"/>
      <x:c r="N77" s="57"/>
      <x:c r="O77" s="57"/>
      <x:c r="P77" s="57"/>
      <x:c r="Q77" s="57"/>
      <x:c r="R77" s="57"/>
      <x:c r="S77" s="57"/>
      <x:c r="T77" s="57"/>
      <x:c r="U77" s="57"/>
      <x:c r="V77" s="57"/>
      <x:c r="W77" s="57"/>
      <x:c r="X77" s="57"/>
      <x:c r="Y77" s="57"/>
      <x:c r="Z77" s="57" t="str">
        <x:v>OK</x:v>
      </x:c>
    </x:row>
    <x:row r="78" ht="15.75" hidden="0" customHeight="1">
      <x:c r="A78" s="57" t="str">
        <x:v>BLUE-FUNC-009</x:v>
      </x:c>
      <x:c r="B78" s="57" t="str">
        <x:v>Functional Head Turn</x:v>
      </x:c>
      <x:c r="C78" s="57"/>
      <x:c r="D78" s="57"/>
      <x:c r="E78" s="57" t="str">
        <x:v>CAT-TEST</x:v>
      </x:c>
      <x:c r="F78" s="57" t="str">
        <x:v>Functional Assessment</x:v>
      </x:c>
      <x:c r="G78" s="57" t="str">
        <x:v>TYPE-BLUEPRINT-CLINICAL-TEST</x:v>
      </x:c>
      <x:c r="H78" s="57"/>
      <x:c r="I78" s="57" t="str">
        <x:v>Assess cervical rotation during function</x:v>
      </x:c>
      <x:c r="J78" s="57"/>
      <x:c r="K78" s="57"/>
      <x:c r="L78" s="57"/>
      <x:c r="M78" s="57"/>
      <x:c r="N78" s="57"/>
      <x:c r="O78" s="57"/>
      <x:c r="P78" s="57"/>
      <x:c r="Q78" s="57"/>
      <x:c r="R78" s="57"/>
      <x:c r="S78" s="57"/>
      <x:c r="T78" s="57"/>
      <x:c r="U78" s="57"/>
      <x:c r="V78" s="57"/>
      <x:c r="W78" s="57"/>
      <x:c r="X78" s="57"/>
      <x:c r="Y78" s="57"/>
      <x:c r="Z78" s="57" t="str">
        <x:v>OK</x:v>
      </x:c>
    </x:row>
    <x:row r="79" ht="15.75" hidden="0" customHeight="1">
      <x:c r="A79" s="57" t="str">
        <x:v>BLUE-FUNC-010</x:v>
      </x:c>
      <x:c r="B79" s="57" t="str">
        <x:v>Deep Neck Flexor Endurance</x:v>
      </x:c>
      <x:c r="C79" s="57"/>
      <x:c r="D79" s="57"/>
      <x:c r="E79" s="57" t="str">
        <x:v>CAT-TEST</x:v>
      </x:c>
      <x:c r="F79" s="57" t="str">
        <x:v>Functional Assessment</x:v>
      </x:c>
      <x:c r="G79" s="57" t="str">
        <x:v>TYPE-BLUEPRINT-CLINICAL-TEST</x:v>
      </x:c>
      <x:c r="H79" s="57" t="str">
        <x:v>sec</x:v>
      </x:c>
      <x:c r="I79" s="57" t="str">
        <x:v>Assess deep cervical flexor endurance</x:v>
      </x:c>
      <x:c r="J79" s="57"/>
      <x:c r="K79" s="57"/>
      <x:c r="L79" s="57"/>
      <x:c r="M79" s="57"/>
      <x:c r="N79" s="57"/>
      <x:c r="O79" s="57"/>
      <x:c r="P79" s="57"/>
      <x:c r="Q79" s="57"/>
      <x:c r="R79" s="57"/>
      <x:c r="S79" s="57"/>
      <x:c r="T79" s="57"/>
      <x:c r="U79" s="57"/>
      <x:c r="V79" s="57"/>
      <x:c r="W79" s="57"/>
      <x:c r="X79" s="57"/>
      <x:c r="Y79" s="57"/>
      <x:c r="Z79" s="57" t="str">
        <x:v>OK</x:v>
      </x:c>
    </x:row>
    <x:row r="80" ht="15.75" hidden="0" customHeight="1">
      <x:c r="A80" s="57" t="str">
        <x:v>BLUE-OUT-001</x:v>
      </x:c>
      <x:c r="B80" s="57" t="str">
        <x:v>Numeric Pain Rating Scale</x:v>
      </x:c>
      <x:c r="C80" s="57"/>
      <x:c r="D80" s="57"/>
      <x:c r="E80" s="57" t="str">
        <x:v>CAT-TEST</x:v>
      </x:c>
      <x:c r="F80" s="57" t="str">
        <x:v>Outcome Measure</x:v>
      </x:c>
      <x:c r="G80" s="57" t="str">
        <x:v>TYPE-BLUEPRINT-CLINICAL-TEST</x:v>
      </x:c>
      <x:c r="H80" s="57" t="str">
        <x:v>/10</x:v>
      </x:c>
      <x:c r="I80" s="57"/>
      <x:c r="J80" s="57"/>
      <x:c r="K80" s="57"/>
      <x:c r="L80" s="57"/>
      <x:c r="M80" s="57"/>
      <x:c r="N80" s="57"/>
      <x:c r="O80" s="57"/>
      <x:c r="P80" s="57"/>
      <x:c r="Q80" s="57"/>
      <x:c r="R80" s="57"/>
      <x:c r="S80" s="57"/>
      <x:c r="T80" s="57"/>
      <x:c r="U80" s="57"/>
      <x:c r="V80" s="57"/>
      <x:c r="W80" s="57"/>
      <x:c r="X80" s="57"/>
      <x:c r="Y80" s="57"/>
      <x:c r="Z80" s="57" t="str">
        <x:v>OK</x:v>
      </x:c>
    </x:row>
    <x:row r="81" ht="15.75" hidden="0" customHeight="1">
      <x:c r="A81" s="57" t="str">
        <x:v>BLUE-OUT-002</x:v>
      </x:c>
      <x:c r="B81" s="57" t="str">
        <x:v>Patient Specific Functional Scale</x:v>
      </x:c>
      <x:c r="C81" s="57"/>
      <x:c r="D81" s="57"/>
      <x:c r="E81" s="57" t="str">
        <x:v>CAT-TEST</x:v>
      </x:c>
      <x:c r="F81" s="57" t="str">
        <x:v>Outcome Measure</x:v>
      </x:c>
      <x:c r="G81" s="57" t="str">
        <x:v>TYPE-BLUEPRINT-CLINICAL-TEST</x:v>
      </x:c>
      <x:c r="H81" s="57" t="str">
        <x:v>/10</x:v>
      </x:c>
      <x:c r="I81" s="57"/>
      <x:c r="J81" s="57"/>
      <x:c r="K81" s="57"/>
      <x:c r="L81" s="57"/>
      <x:c r="M81" s="57"/>
      <x:c r="N81" s="57"/>
      <x:c r="O81" s="57"/>
      <x:c r="P81" s="57"/>
      <x:c r="Q81" s="57"/>
      <x:c r="R81" s="57"/>
      <x:c r="S81" s="57"/>
      <x:c r="T81" s="57"/>
      <x:c r="U81" s="57"/>
      <x:c r="V81" s="57"/>
      <x:c r="W81" s="57"/>
      <x:c r="X81" s="57"/>
      <x:c r="Y81" s="57"/>
      <x:c r="Z81" s="57" t="str">
        <x:v>OK</x:v>
      </x:c>
    </x:row>
    <x:row r="82" ht="15.75" hidden="0" customHeight="1">
      <x:c r="A82" s="57" t="str">
        <x:v>BLUE-OUT-003</x:v>
      </x:c>
      <x:c r="B82" s="57" t="str">
        <x:v>Neck Disability Index</x:v>
      </x:c>
      <x:c r="C82" s="57"/>
      <x:c r="D82" s="57"/>
      <x:c r="E82" s="57" t="str">
        <x:v>CAT-TEST</x:v>
      </x:c>
      <x:c r="F82" s="57" t="str">
        <x:v>Outcome Measure</x:v>
      </x:c>
      <x:c r="G82" s="57" t="str">
        <x:v>TYPE-BLUEPRINT-CLINICAL-TEST</x:v>
      </x:c>
      <x:c r="H82" s="57" t="str">
        <x:v>/50</x:v>
      </x:c>
      <x:c r="I82" s="57"/>
      <x:c r="J82" s="57"/>
      <x:c r="K82" s="57"/>
      <x:c r="L82" s="57"/>
      <x:c r="M82" s="57"/>
      <x:c r="N82" s="57"/>
      <x:c r="O82" s="57"/>
      <x:c r="P82" s="57"/>
      <x:c r="Q82" s="57"/>
      <x:c r="R82" s="57"/>
      <x:c r="S82" s="57"/>
      <x:c r="T82" s="57"/>
      <x:c r="U82" s="57"/>
      <x:c r="V82" s="57"/>
      <x:c r="W82" s="57"/>
      <x:c r="X82" s="57"/>
      <x:c r="Y82" s="57"/>
      <x:c r="Z82" s="57" t="str">
        <x:v>OK</x:v>
      </x:c>
    </x:row>
    <x:row r="83" ht="15.75" hidden="0" customHeight="1">
      <x:c r="A83" s="57" t="str">
        <x:v>BLUE-OUT-004</x:v>
      </x:c>
      <x:c r="B83" s="57" t="str">
        <x:v>Dizziness Handicap Inventory</x:v>
      </x:c>
      <x:c r="C83" s="57"/>
      <x:c r="D83" s="57"/>
      <x:c r="E83" s="57" t="str">
        <x:v>CAT-TEST</x:v>
      </x:c>
      <x:c r="F83" s="57" t="str">
        <x:v>Outcome Measure</x:v>
      </x:c>
      <x:c r="G83" s="57" t="str">
        <x:v>TYPE-BLUEPRINT-CLINICAL-TEST</x:v>
      </x:c>
      <x:c r="H83" s="57"/>
      <x:c r="I83" s="57"/>
      <x:c r="J83" s="57"/>
      <x:c r="K83" s="57"/>
      <x:c r="L83" s="57"/>
      <x:c r="M83" s="57"/>
      <x:c r="N83" s="57"/>
      <x:c r="O83" s="57"/>
      <x:c r="P83" s="57"/>
      <x:c r="Q83" s="57"/>
      <x:c r="R83" s="57"/>
      <x:c r="S83" s="57"/>
      <x:c r="T83" s="57"/>
      <x:c r="U83" s="57"/>
      <x:c r="V83" s="57"/>
      <x:c r="W83" s="57"/>
      <x:c r="X83" s="57"/>
      <x:c r="Y83" s="57"/>
      <x:c r="Z83" s="57" t="str">
        <x:v>OK</x:v>
      </x:c>
    </x:row>
    <x:row r="84" ht="15.75" hidden="0" customHeight="1">
      <x:c r="A84" s="57" t="str">
        <x:v>BLUE-OUT-005</x:v>
      </x:c>
      <x:c r="B84" s="57" t="str">
        <x:v>QuickDASH</x:v>
      </x:c>
      <x:c r="C84" s="57"/>
      <x:c r="D84" s="57"/>
      <x:c r="E84" s="57" t="str">
        <x:v>CAT-TEST</x:v>
      </x:c>
      <x:c r="F84" s="57" t="str">
        <x:v>Outcome Measure</x:v>
      </x:c>
      <x:c r="G84" s="57" t="str">
        <x:v>TYPE-BLUEPRINT-CLINICAL-TEST</x:v>
      </x:c>
      <x:c r="H84" s="57" t="str">
        <x:v>/100</x:v>
      </x:c>
      <x:c r="I84" s="57"/>
      <x:c r="J84" s="57"/>
      <x:c r="K84" s="57"/>
      <x:c r="L84" s="57"/>
      <x:c r="M84" s="57"/>
      <x:c r="N84" s="57"/>
      <x:c r="O84" s="57"/>
      <x:c r="P84" s="57"/>
      <x:c r="Q84" s="57"/>
      <x:c r="R84" s="57"/>
      <x:c r="S84" s="57"/>
      <x:c r="T84" s="57"/>
      <x:c r="U84" s="57"/>
      <x:c r="V84" s="57"/>
      <x:c r="W84" s="57"/>
      <x:c r="X84" s="57"/>
      <x:c r="Y84" s="57"/>
      <x:c r="Z84" s="57" t="str">
        <x:v>OK</x:v>
      </x:c>
    </x:row>
    <x:row r="85" ht="15.75" hidden="0" customHeight="1">
      <x:c r="A85" s="57" t="str">
        <x:v>BLUE-OUT-006</x:v>
      </x:c>
      <x:c r="B85" s="57" t="str">
        <x:v>Oswestry Disability Index</x:v>
      </x:c>
      <x:c r="C85" s="57"/>
      <x:c r="D85" s="57"/>
      <x:c r="E85" s="57" t="str">
        <x:v>CAT-TEST</x:v>
      </x:c>
      <x:c r="F85" s="57" t="str">
        <x:v>Outcome Measure</x:v>
      </x:c>
      <x:c r="G85" s="57" t="str">
        <x:v>TYPE-BLUEPRINT-CLINICAL-TEST</x:v>
      </x:c>
      <x:c r="H85" s="57" t="str">
        <x:v>/50</x:v>
      </x:c>
      <x:c r="I85" s="57"/>
      <x:c r="J85" s="57"/>
      <x:c r="K85" s="57"/>
      <x:c r="L85" s="57"/>
      <x:c r="M85" s="57"/>
      <x:c r="N85" s="57"/>
      <x:c r="O85" s="57"/>
      <x:c r="P85" s="57"/>
      <x:c r="Q85" s="57"/>
      <x:c r="R85" s="57"/>
      <x:c r="S85" s="57"/>
      <x:c r="T85" s="57"/>
      <x:c r="U85" s="57"/>
      <x:c r="V85" s="57"/>
      <x:c r="W85" s="57"/>
      <x:c r="X85" s="57"/>
      <x:c r="Y85" s="57"/>
      <x:c r="Z85" s="57" t="str">
        <x:v>OK</x:v>
      </x:c>
    </x:row>
    <x:row r="86" ht="15.75" hidden="0" customHeight="1">
      <x:c r="A86" s="57" t="str">
        <x:v>BLUE-OUT-007</x:v>
      </x:c>
      <x:c r="B86" s="57" t="str">
        <x:v>Lower Extremity Functional Scale</x:v>
      </x:c>
      <x:c r="C86" s="57"/>
      <x:c r="D86" s="57"/>
      <x:c r="E86" s="57" t="str">
        <x:v>CAT-TEST</x:v>
      </x:c>
      <x:c r="F86" s="57" t="str">
        <x:v>Outcome Measure</x:v>
      </x:c>
      <x:c r="G86" s="57" t="str">
        <x:v>TYPE-BLUEPRINT-CLINICAL-TEST</x:v>
      </x:c>
      <x:c r="H86" s="57" t="str">
        <x:v>/80</x:v>
      </x:c>
      <x:c r="I86" s="57"/>
      <x:c r="J86" s="57"/>
      <x:c r="K86" s="57"/>
      <x:c r="L86" s="57"/>
      <x:c r="M86" s="57"/>
      <x:c r="N86" s="57"/>
      <x:c r="O86" s="57"/>
      <x:c r="P86" s="57"/>
      <x:c r="Q86" s="57"/>
      <x:c r="R86" s="57"/>
      <x:c r="S86" s="57"/>
      <x:c r="T86" s="57"/>
      <x:c r="U86" s="57"/>
      <x:c r="V86" s="57"/>
      <x:c r="W86" s="57"/>
      <x:c r="X86" s="57"/>
      <x:c r="Y86" s="57"/>
      <x:c r="Z86" s="57" t="str">
        <x:v>OK</x:v>
      </x:c>
    </x:row>
    <x:row r="87" ht="15.75" hidden="0" customHeight="1">
      <x:c r="A87" s="57" t="str">
        <x:v>BLUE-OUT-008</x:v>
      </x:c>
      <x:c r="B87" s="57" t="str">
        <x:v>Tampa Scale of Kinesiophobia</x:v>
      </x:c>
      <x:c r="C87" s="57"/>
      <x:c r="D87" s="57"/>
      <x:c r="E87" s="57" t="str">
        <x:v>CAT-TEST</x:v>
      </x:c>
      <x:c r="F87" s="57" t="str">
        <x:v>Outcome Measure</x:v>
      </x:c>
      <x:c r="G87" s="57" t="str">
        <x:v>TYPE-BLUEPRINT-CLINICAL-TEST</x:v>
      </x:c>
      <x:c r="H87" s="57"/>
      <x:c r="I87" s="57"/>
      <x:c r="J87" s="57"/>
      <x:c r="K87" s="57"/>
      <x:c r="L87" s="57"/>
      <x:c r="M87" s="57"/>
      <x:c r="N87" s="57"/>
      <x:c r="O87" s="57"/>
      <x:c r="P87" s="57"/>
      <x:c r="Q87" s="57"/>
      <x:c r="R87" s="57"/>
      <x:c r="S87" s="57"/>
      <x:c r="T87" s="57"/>
      <x:c r="U87" s="57"/>
      <x:c r="V87" s="57"/>
      <x:c r="W87" s="57"/>
      <x:c r="X87" s="57"/>
      <x:c r="Y87" s="57"/>
      <x:c r="Z87" s="57" t="str">
        <x:v>OK</x:v>
      </x:c>
    </x:row>
    <x:row r="88" ht="15.75" hidden="0" customHeight="1">
      <x:c r="A88" s="57" t="str">
        <x:v>BLUE-OUT-009</x:v>
      </x:c>
      <x:c r="B88" s="57" t="str">
        <x:v>Pain Catastrophizing Scale</x:v>
      </x:c>
      <x:c r="C88" s="57"/>
      <x:c r="D88" s="57"/>
      <x:c r="E88" s="57" t="str">
        <x:v>CAT-TEST</x:v>
      </x:c>
      <x:c r="F88" s="57" t="str">
        <x:v>Outcome Measure</x:v>
      </x:c>
      <x:c r="G88" s="57" t="str">
        <x:v>TYPE-BLUEPRINT-CLINICAL-TEST</x:v>
      </x:c>
      <x:c r="H88" s="57"/>
      <x:c r="I88" s="57"/>
      <x:c r="J88" s="57"/>
      <x:c r="K88" s="57"/>
      <x:c r="L88" s="57"/>
      <x:c r="M88" s="57"/>
      <x:c r="N88" s="57"/>
      <x:c r="O88" s="57"/>
      <x:c r="P88" s="57"/>
      <x:c r="Q88" s="57"/>
      <x:c r="R88" s="57"/>
      <x:c r="S88" s="57"/>
      <x:c r="T88" s="57"/>
      <x:c r="U88" s="57"/>
      <x:c r="V88" s="57"/>
      <x:c r="W88" s="57"/>
      <x:c r="X88" s="57"/>
      <x:c r="Y88" s="57"/>
      <x:c r="Z88" s="57" t="str">
        <x:v>OK</x:v>
      </x:c>
    </x:row>
    <x:row r="89" ht="15.75" hidden="0" customHeight="1">
      <x:c r="A89" s="57" t="str">
        <x:v>BLUE-OUT-010</x:v>
      </x:c>
      <x:c r="B89" s="57" t="str">
        <x:v>Central Sensitisation Inventory</x:v>
      </x:c>
      <x:c r="C89" s="57"/>
      <x:c r="D89" s="57"/>
      <x:c r="E89" s="57" t="str">
        <x:v>CAT-TEST</x:v>
      </x:c>
      <x:c r="F89" s="57" t="str">
        <x:v>Outcome Measure</x:v>
      </x:c>
      <x:c r="G89" s="57" t="str">
        <x:v>TYPE-BLUEPRINT-CLINICAL-TEST</x:v>
      </x:c>
      <x:c r="H89" s="57"/>
      <x:c r="I89" s="57"/>
      <x:c r="J89" s="57"/>
      <x:c r="K89" s="57"/>
      <x:c r="L89" s="57"/>
      <x:c r="M89" s="57"/>
      <x:c r="N89" s="57"/>
      <x:c r="O89" s="57"/>
      <x:c r="P89" s="57"/>
      <x:c r="Q89" s="57"/>
      <x:c r="R89" s="57"/>
      <x:c r="S89" s="57"/>
      <x:c r="T89" s="57"/>
      <x:c r="U89" s="57"/>
      <x:c r="V89" s="57"/>
      <x:c r="W89" s="57"/>
      <x:c r="X89" s="57"/>
      <x:c r="Y89" s="57"/>
      <x:c r="Z89" s="57" t="str">
        <x:v>OK</x:v>
      </x:c>
    </x:row>
    <x:row r="90" ht="15.75" hidden="0" customHeight="1">
      <x:c r="A90" s="57" t="str">
        <x:v>BLUE-BUS-001</x:v>
      </x:c>
      <x:c r="B90" s="57" t="str">
        <x:v>Recovery Tools Overview</x:v>
      </x:c>
      <x:c r="C90" s="57"/>
      <x:c r="D90" s="57"/>
      <x:c r="E90" s="57" t="str">
        <x:v>CAT-BUSINESS</x:v>
      </x:c>
      <x:c r="F90" s="57" t="str">
        <x:v>Manual</x:v>
      </x:c>
      <x:c r="G90" s="57" t="str"/>
      <x:c r="H90" s="57"/>
      <x:c r="I90" s="57"/>
      <x:c r="J90" s="57"/>
      <x:c r="K90" s="57"/>
      <x:c r="L90" s="57"/>
      <x:c r="M90" s="57"/>
      <x:c r="N90" s="57"/>
      <x:c r="O90" s="57"/>
      <x:c r="P90" s="57"/>
      <x:c r="Q90" s="57"/>
      <x:c r="R90" s="57"/>
      <x:c r="S90" s="57"/>
      <x:c r="T90" s="57"/>
      <x:c r="U90" s="57"/>
      <x:c r="V90" s="57"/>
      <x:c r="W90" s="57"/>
      <x:c r="X90" s="57"/>
      <x:c r="Y90" s="57"/>
      <x:c r="Z90" s="57" t="str">
        <x:v>Review TypeID</x:v>
      </x:c>
    </x:row>
    <x:row r="91" ht="15.75" hidden="0" customHeight="1">
      <x:c r="A91" s="57" t="str">
        <x:v>BLUE-BUS-002</x:v>
      </x:c>
      <x:c r="B91" s="57" t="str">
        <x:v>Recovery Campaign Workflow</x:v>
      </x:c>
      <x:c r="C91" s="57"/>
      <x:c r="D91" s="57"/>
      <x:c r="E91" s="57" t="str">
        <x:v>CAT-BUSINESS</x:v>
      </x:c>
      <x:c r="F91" s="57" t="str">
        <x:v>Manual</x:v>
      </x:c>
      <x:c r="G91" s="57" t="str"/>
      <x:c r="H91" s="57"/>
      <x:c r="I91" s="57"/>
      <x:c r="J91" s="57"/>
      <x:c r="K91" s="57"/>
      <x:c r="L91" s="57"/>
      <x:c r="M91" s="57"/>
      <x:c r="N91" s="57"/>
      <x:c r="O91" s="57"/>
      <x:c r="P91" s="57"/>
      <x:c r="Q91" s="57"/>
      <x:c r="R91" s="57"/>
      <x:c r="S91" s="57"/>
      <x:c r="T91" s="57"/>
      <x:c r="U91" s="57"/>
      <x:c r="V91" s="57"/>
      <x:c r="W91" s="57"/>
      <x:c r="X91" s="57"/>
      <x:c r="Y91" s="57"/>
      <x:c r="Z91" s="57" t="str">
        <x:v>Review TypeID</x:v>
      </x:c>
    </x:row>
    <x:row r="92" ht="15.75" hidden="0" customHeight="1">
      <x:c r="A92" s="57" t="str">
        <x:v>BLUE-BUS-003</x:v>
      </x:c>
      <x:c r="B92" s="57" t="str">
        <x:v>Campaign Planning</x:v>
      </x:c>
      <x:c r="C92" s="57"/>
      <x:c r="D92" s="57"/>
      <x:c r="E92" s="57" t="str">
        <x:v>CAT-BUSINESS</x:v>
      </x:c>
      <x:c r="F92" s="57" t="str">
        <x:v>Manual</x:v>
      </x:c>
      <x:c r="G92" s="57" t="str"/>
      <x:c r="H92" s="57"/>
      <x:c r="I92" s="57"/>
      <x:c r="J92" s="57"/>
      <x:c r="K92" s="57"/>
      <x:c r="L92" s="57"/>
      <x:c r="M92" s="57"/>
      <x:c r="N92" s="57"/>
      <x:c r="O92" s="57"/>
      <x:c r="P92" s="57"/>
      <x:c r="Q92" s="57"/>
      <x:c r="R92" s="57"/>
      <x:c r="S92" s="57"/>
      <x:c r="T92" s="57"/>
      <x:c r="U92" s="57"/>
      <x:c r="V92" s="57"/>
      <x:c r="W92" s="57"/>
      <x:c r="X92" s="57"/>
      <x:c r="Y92" s="57"/>
      <x:c r="Z92" s="57" t="str">
        <x:v>Review TypeID</x:v>
      </x:c>
    </x:row>
    <x:row r="93" ht="15.75" hidden="0" customHeight="1">
      <x:c r="A93" s="57" t="str">
        <x:v>BLUE-BUS-004</x:v>
      </x:c>
      <x:c r="B93" s="57" t="str">
        <x:v>Daily Workflow</x:v>
      </x:c>
      <x:c r="C93" s="57"/>
      <x:c r="D93" s="57"/>
      <x:c r="E93" s="57" t="str">
        <x:v>CAT-BUSINESS</x:v>
      </x:c>
      <x:c r="F93" s="57" t="str">
        <x:v>Manual</x:v>
      </x:c>
      <x:c r="G93" s="57" t="str"/>
      <x:c r="H93" s="57"/>
      <x:c r="I93" s="57"/>
      <x:c r="J93" s="57"/>
      <x:c r="K93" s="57"/>
      <x:c r="L93" s="57"/>
      <x:c r="M93" s="57"/>
      <x:c r="N93" s="57"/>
      <x:c r="O93" s="57"/>
      <x:c r="P93" s="57"/>
      <x:c r="Q93" s="57"/>
      <x:c r="R93" s="57"/>
      <x:c r="S93" s="57"/>
      <x:c r="T93" s="57"/>
      <x:c r="U93" s="57"/>
      <x:c r="V93" s="57"/>
      <x:c r="W93" s="57"/>
      <x:c r="X93" s="57"/>
      <x:c r="Y93" s="57"/>
      <x:c r="Z93" s="57" t="str">
        <x:v>Review TypeID</x:v>
      </x:c>
    </x:row>
    <x:row r="94" ht="15.75" hidden="0" customHeight="1">
      <x:c r="A94" s="57" t="str">
        <x:v>BLUE-BUS-005</x:v>
      </x:c>
      <x:c r="B94" s="57" t="str">
        <x:v>Campaign Templates</x:v>
      </x:c>
      <x:c r="C94" s="57"/>
      <x:c r="D94" s="57"/>
      <x:c r="E94" s="57" t="str">
        <x:v>CAT-BUSINESS</x:v>
      </x:c>
      <x:c r="F94" s="57" t="str">
        <x:v>Manual</x:v>
      </x:c>
      <x:c r="G94" s="57" t="str"/>
      <x:c r="H94" s="57"/>
      <x:c r="I94" s="57"/>
      <x:c r="J94" s="57"/>
      <x:c r="K94" s="57"/>
      <x:c r="L94" s="57"/>
      <x:c r="M94" s="57"/>
      <x:c r="N94" s="57"/>
      <x:c r="O94" s="57"/>
      <x:c r="P94" s="57"/>
      <x:c r="Q94" s="57"/>
      <x:c r="R94" s="57"/>
      <x:c r="S94" s="57"/>
      <x:c r="T94" s="57"/>
      <x:c r="U94" s="57"/>
      <x:c r="V94" s="57"/>
      <x:c r="W94" s="57"/>
      <x:c r="X94" s="57"/>
      <x:c r="Y94" s="57"/>
      <x:c r="Z94" s="57" t="str">
        <x:v>Review TypeID</x:v>
      </x:c>
    </x:row>
    <x:row r="95" ht="15.75" hidden="0" customHeight="1">
      <x:c r="A95" s="57" t="str">
        <x:v>BLUE-BUS-006</x:v>
      </x:c>
      <x:c r="B95" s="57" t="str">
        <x:v>Quality Assurance</x:v>
      </x:c>
      <x:c r="C95" s="57"/>
      <x:c r="D95" s="57"/>
      <x:c r="E95" s="57" t="str">
        <x:v>CAT-BUSINESS</x:v>
      </x:c>
      <x:c r="F95" s="57" t="str">
        <x:v>Manual</x:v>
      </x:c>
      <x:c r="G95" s="57" t="str"/>
      <x:c r="H95" s="57"/>
      <x:c r="I95" s="57"/>
      <x:c r="J95" s="57"/>
      <x:c r="K95" s="57"/>
      <x:c r="L95" s="57"/>
      <x:c r="M95" s="57"/>
      <x:c r="N95" s="57"/>
      <x:c r="O95" s="57"/>
      <x:c r="P95" s="57"/>
      <x:c r="Q95" s="57"/>
      <x:c r="R95" s="57"/>
      <x:c r="S95" s="57"/>
      <x:c r="T95" s="57"/>
      <x:c r="U95" s="57"/>
      <x:c r="V95" s="57"/>
      <x:c r="W95" s="57"/>
      <x:c r="X95" s="57"/>
      <x:c r="Y95" s="57"/>
      <x:c r="Z95" s="57" t="str">
        <x:v>Review TypeID</x:v>
      </x:c>
    </x:row>
    <x:row r="96" ht="15.75" hidden="0" customHeight="1">
      <x:c r="A96" s="57" t="str">
        <x:v>BLUE-BUS-007</x:v>
      </x:c>
      <x:c r="B96" s="57" t="str">
        <x:v>Canva Workflow</x:v>
      </x:c>
      <x:c r="C96" s="57"/>
      <x:c r="D96" s="57"/>
      <x:c r="E96" s="57" t="str">
        <x:v>CAT-BUSINESS</x:v>
      </x:c>
      <x:c r="F96" s="57" t="str">
        <x:v>Manual</x:v>
      </x:c>
      <x:c r="G96" s="57" t="str"/>
      <x:c r="H96" s="57"/>
      <x:c r="I96" s="57"/>
      <x:c r="J96" s="57"/>
      <x:c r="K96" s="57"/>
      <x:c r="L96" s="57"/>
      <x:c r="M96" s="57"/>
      <x:c r="N96" s="57"/>
      <x:c r="O96" s="57"/>
      <x:c r="P96" s="57"/>
      <x:c r="Q96" s="57"/>
      <x:c r="R96" s="57"/>
      <x:c r="S96" s="57"/>
      <x:c r="T96" s="57"/>
      <x:c r="U96" s="57"/>
      <x:c r="V96" s="57"/>
      <x:c r="W96" s="57"/>
      <x:c r="X96" s="57"/>
      <x:c r="Y96" s="57"/>
      <x:c r="Z96" s="57" t="str">
        <x:v>Review TypeID</x:v>
      </x:c>
    </x:row>
    <x:row r="97" ht="15.75" hidden="0" customHeight="1">
      <x:c r="A97" s="57" t="str">
        <x:v>BLUE-BUS-008</x:v>
      </x:c>
      <x:c r="B97" s="57" t="str">
        <x:v>Instagram Workflow</x:v>
      </x:c>
      <x:c r="C97" s="57"/>
      <x:c r="D97" s="57"/>
      <x:c r="E97" s="57" t="str">
        <x:v>CAT-BUSINESS</x:v>
      </x:c>
      <x:c r="F97" s="57" t="str">
        <x:v>Manual</x:v>
      </x:c>
      <x:c r="G97" s="57" t="str"/>
      <x:c r="H97" s="57"/>
      <x:c r="I97" s="57"/>
      <x:c r="J97" s="57"/>
      <x:c r="K97" s="57"/>
      <x:c r="L97" s="57"/>
      <x:c r="M97" s="57"/>
      <x:c r="N97" s="57"/>
      <x:c r="O97" s="57"/>
      <x:c r="P97" s="57"/>
      <x:c r="Q97" s="57"/>
      <x:c r="R97" s="57"/>
      <x:c r="S97" s="57"/>
      <x:c r="T97" s="57"/>
      <x:c r="U97" s="57"/>
      <x:c r="V97" s="57"/>
      <x:c r="W97" s="57"/>
      <x:c r="X97" s="57"/>
      <x:c r="Y97" s="57"/>
      <x:c r="Z97" s="57" t="str">
        <x:v>Review TypeID</x:v>
      </x:c>
    </x:row>
    <x:row r="98" ht="15.75" hidden="0" customHeight="1">
      <x:c r="A98" s="57" t="str">
        <x:v>BLUE-BUS-009</x:v>
      </x:c>
      <x:c r="B98" s="57" t="str">
        <x:v>Photography Workflow</x:v>
      </x:c>
      <x:c r="C98" s="57"/>
      <x:c r="D98" s="57"/>
      <x:c r="E98" s="57" t="str">
        <x:v>CAT-BUSINESS</x:v>
      </x:c>
      <x:c r="F98" s="57" t="str">
        <x:v>Manual</x:v>
      </x:c>
      <x:c r="G98" s="57" t="str"/>
      <x:c r="H98" s="57"/>
      <x:c r="I98" s="57" t="str">
        <x:v>To produce consistent, high-quality media assets that are correctly edited, stored, documented and linked throughout the Recovery Tools ecosystem.</x:v>
      </x:c>
      <x:c r="J98" s="57"/>
      <x:c r="K98" s="57"/>
      <x:c r="L98" s="57"/>
      <x:c r="M98" s="57"/>
      <x:c r="N98" s="57"/>
      <x:c r="O98" s="57"/>
      <x:c r="P98" s="57"/>
      <x:c r="Q98" s="57"/>
      <x:c r="R98" s="57"/>
      <x:c r="S98" s="57"/>
      <x:c r="T98" s="57"/>
      <x:c r="U98" s="57"/>
      <x:c r="V98" s="57"/>
      <x:c r="W98" s="57"/>
      <x:c r="X98" s="57"/>
      <x:c r="Y98" s="57"/>
      <x:c r="Z98" s="57" t="str">
        <x:v>Review TypeID</x:v>
      </x:c>
    </x:row>
    <x:row r="99" ht="15.75" hidden="0" customHeight="1">
      <x:c r="A99" s="57" t="str">
        <x:v>BLUE-BUS-010</x:v>
      </x:c>
      <x:c r="B99" s="57" t="str">
        <x:v>Video Workflow</x:v>
      </x:c>
      <x:c r="C99" s="57"/>
      <x:c r="D99" s="57"/>
      <x:c r="E99" s="57" t="str">
        <x:v>CAT-BUSINESS</x:v>
      </x:c>
      <x:c r="F99" s="57" t="str">
        <x:v>Manual</x:v>
      </x:c>
      <x:c r="G99" s="57" t="str"/>
      <x:c r="H99" s="57"/>
      <x:c r="I99" s="57"/>
      <x:c r="J99" s="57"/>
      <x:c r="K99" s="57"/>
      <x:c r="L99" s="57"/>
      <x:c r="M99" s="57"/>
      <x:c r="N99" s="57"/>
      <x:c r="O99" s="57"/>
      <x:c r="P99" s="57"/>
      <x:c r="Q99" s="57"/>
      <x:c r="R99" s="57"/>
      <x:c r="S99" s="57"/>
      <x:c r="T99" s="57"/>
      <x:c r="U99" s="57"/>
      <x:c r="V99" s="57"/>
      <x:c r="W99" s="57"/>
      <x:c r="X99" s="57"/>
      <x:c r="Y99" s="57"/>
      <x:c r="Z99" s="57" t="str">
        <x:v>Review TypeID</x:v>
      </x:c>
    </x:row>
    <x:row r="100" ht="15.75" hidden="0" customHeight="1">
      <x:c r="A100" s="57" t="str">
        <x:v>BLUE-BUS-011</x:v>
      </x:c>
      <x:c r="B100" s="57" t="str">
        <x:v>Affiliate Workflow</x:v>
      </x:c>
      <x:c r="C100" s="57"/>
      <x:c r="D100" s="57"/>
      <x:c r="E100" s="57" t="str">
        <x:v>CAT-BUSINESS</x:v>
      </x:c>
      <x:c r="F100" s="57" t="str">
        <x:v>Manual</x:v>
      </x:c>
      <x:c r="G100" s="57" t="str"/>
      <x:c r="H100" s="57"/>
      <x:c r="I100" s="57"/>
      <x:c r="J100" s="57"/>
      <x:c r="K100" s="57"/>
      <x:c r="L100" s="57"/>
      <x:c r="M100" s="57"/>
      <x:c r="N100" s="57"/>
      <x:c r="O100" s="57"/>
      <x:c r="P100" s="57"/>
      <x:c r="Q100" s="57"/>
      <x:c r="R100" s="57"/>
      <x:c r="S100" s="57" t="str">
        <x:v>Private</x:v>
      </x:c>
      <x:c r="T100" s="57" t="str">
        <x:v>Draft</x:v>
      </x:c>
      <x:c r="U100" s="57"/>
      <x:c r="V100" s="57"/>
      <x:c r="W100" s="57"/>
      <x:c r="X100" s="57" t="str">
        <x:v>Needs source</x:v>
      </x:c>
      <x:c r="Y100" s="57"/>
      <x:c r="Z100" s="57" t="str">
        <x:v>Review TypeID</x:v>
      </x:c>
    </x:row>
    <x:row r="101" ht="15.75" hidden="0" customHeight="1">
      <x:c r="A101" s="57" t="str">
        <x:v>BLUE-BUS-012</x:v>
      </x:c>
      <x:c r="B101" s="57" t="str">
        <x:v>Asset Library</x:v>
      </x:c>
      <x:c r="C101" s="57"/>
      <x:c r="D101" s="57"/>
      <x:c r="E101" s="57" t="str">
        <x:v>CAT-BUSINESS</x:v>
      </x:c>
      <x:c r="F101" s="57" t="str">
        <x:v>Manual</x:v>
      </x:c>
      <x:c r="G101" s="57" t="str"/>
      <x:c r="H101" s="57"/>
      <x:c r="I101" s="57"/>
      <x:c r="J101" s="57"/>
      <x:c r="K101" s="57"/>
      <x:c r="L101" s="57"/>
      <x:c r="M101" s="57"/>
      <x:c r="N101" s="57"/>
      <x:c r="O101" s="57"/>
      <x:c r="P101" s="57"/>
      <x:c r="Q101" s="57"/>
      <x:c r="R101" s="57"/>
      <x:c r="S101" s="57" t="str">
        <x:v>Clinic</x:v>
      </x:c>
      <x:c r="T101" s="57" t="str">
        <x:v>Pending Review</x:v>
      </x:c>
      <x:c r="U101" s="57"/>
      <x:c r="V101" s="57"/>
      <x:c r="W101" s="57"/>
      <x:c r="X101" s="57" t="str">
        <x:v>Draft source</x:v>
      </x:c>
      <x:c r="Y101" s="57"/>
      <x:c r="Z101" s="57" t="str">
        <x:v>Review TypeID</x:v>
      </x:c>
    </x:row>
    <x:row r="102" ht="15.75" hidden="0" customHeight="1">
      <x:c r="A102" s="57" t="str">
        <x:v>BLUE-BUS-013</x:v>
      </x:c>
      <x:c r="B102" s="57" t="str">
        <x:v>Naming Conventions</x:v>
      </x:c>
      <x:c r="C102" s="57"/>
      <x:c r="D102" s="57"/>
      <x:c r="E102" s="57" t="str">
        <x:v>CAT-BUSINESS</x:v>
      </x:c>
      <x:c r="F102" s="57" t="str">
        <x:v>Manual</x:v>
      </x:c>
      <x:c r="G102" s="57" t="str"/>
      <x:c r="H102" s="57"/>
      <x:c r="I102" s="57"/>
      <x:c r="J102" s="57"/>
      <x:c r="K102" s="57"/>
      <x:c r="L102" s="57"/>
      <x:c r="M102" s="57"/>
      <x:c r="N102" s="57"/>
      <x:c r="O102" s="57"/>
      <x:c r="P102" s="57"/>
      <x:c r="Q102" s="57"/>
      <x:c r="R102" s="57"/>
      <x:c r="S102" s="57" t="str">
        <x:v>Marketplace</x:v>
      </x:c>
      <x:c r="T102" s="57" t="str">
        <x:v>Approved</x:v>
      </x:c>
      <x:c r="U102" s="57"/>
      <x:c r="V102" s="57"/>
      <x:c r="W102" s="57"/>
      <x:c r="X102" s="57" t="str">
        <x:v>Verified</x:v>
      </x:c>
      <x:c r="Y102" s="57"/>
      <x:c r="Z102" s="57" t="str">
        <x:v>Review TypeID</x:v>
      </x:c>
    </x:row>
    <x:row r="103" ht="15.75" hidden="0" customHeight="1">
      <x:c r="A103" s="57" t="str">
        <x:v>BLUE-BUS-014</x:v>
      </x:c>
      <x:c r="B103" s="57" t="str">
        <x:v>Annual Campaign Planning</x:v>
      </x:c>
      <x:c r="C103" s="57"/>
      <x:c r="D103" s="57"/>
      <x:c r="E103" s="57" t="str">
        <x:v>CAT-BUSINESS</x:v>
      </x:c>
      <x:c r="F103" s="57" t="str">
        <x:v>Manual</x:v>
      </x:c>
      <x:c r="G103" s="57" t="str"/>
      <x:c r="H103" s="57"/>
      <x:c r="I103" s="57"/>
      <x:c r="J103" s="57"/>
      <x:c r="K103" s="57"/>
      <x:c r="L103" s="57"/>
      <x:c r="M103" s="57"/>
      <x:c r="N103" s="57"/>
      <x:c r="O103" s="57"/>
      <x:c r="P103" s="57"/>
      <x:c r="Q103" s="57" t="str">
        <x:v>Recovery Tools</x:v>
      </x:c>
      <x:c r="R103" s="57"/>
      <x:c r="S103" s="57" t="str">
        <x:v>Public</x:v>
      </x:c>
      <x:c r="T103" s="57" t="str">
        <x:v>Archived</x:v>
      </x:c>
      <x:c r="U103" s="57"/>
      <x:c r="V103" s="57"/>
      <x:c r="W103" s="57"/>
      <x:c r="X103" s="57" t="str">
        <x:v>Not required</x:v>
      </x:c>
      <x:c r="Y103" s="57"/>
      <x:c r="Z103" s="57" t="str">
        <x:v>Review TypeID</x:v>
      </x:c>
    </x:row>
    <x:row r="104" ht="15.75" hidden="0" customHeight="1">
      <x:c r="A104" s="57" t="str">
        <x:v>BLUE-BUS-015</x:v>
      </x:c>
      <x:c r="B104" s="57" t="str">
        <x:v>Publishing Workflow</x:v>
      </x:c>
      <x:c r="C104" s="57"/>
      <x:c r="D104" s="57"/>
      <x:c r="E104" s="57" t="str">
        <x:v>CAT-BUSINESS</x:v>
      </x:c>
      <x:c r="F104" s="57" t="str">
        <x:v>Manual</x:v>
      </x:c>
      <x:c r="G104" s="57" t="str"/>
      <x:c r="H104" s="57"/>
      <x:c r="I104" s="57"/>
      <x:c r="J104" s="57"/>
      <x:c r="K104" s="57"/>
      <x:c r="L104" s="57"/>
      <x:c r="M104" s="57"/>
      <x:c r="N104" s="57"/>
      <x:c r="O104" s="57"/>
      <x:c r="P104" s="57"/>
      <x:c r="Q104" s="57" t="str">
        <x:v>Therapist</x:v>
      </x:c>
      <x:c r="R104" s="57"/>
      <x:c r="S104" s="57"/>
      <x:c r="T104" s="57"/>
      <x:c r="U104" s="57"/>
      <x:c r="V104" s="57"/>
      <x:c r="W104" s="57"/>
      <x:c r="X104" s="57"/>
      <x:c r="Y104" s="57"/>
      <x:c r="Z104" s="57" t="str">
        <x:v>Review TypeID</x:v>
      </x:c>
    </x:row>
    <x:row r="105" ht="15.75" hidden="0" customHeight="1">
      <x:c r="A105" s="57" t="str">
        <x:v>BLUE-BUS-016</x:v>
      </x:c>
      <x:c r="B105" s="57" t="str">
        <x:v>Continuous Improvement</x:v>
      </x:c>
      <x:c r="C105" s="57"/>
      <x:c r="D105" s="57"/>
      <x:c r="E105" s="57" t="str">
        <x:v>CAT-BUSINESS</x:v>
      </x:c>
      <x:c r="F105" s="57" t="str">
        <x:v>Manual</x:v>
      </x:c>
      <x:c r="G105" s="57" t="str"/>
      <x:c r="H105" s="57"/>
      <x:c r="I105" s="57"/>
      <x:c r="J105" s="57"/>
      <x:c r="K105" s="57"/>
      <x:c r="L105" s="57"/>
      <x:c r="M105" s="57"/>
      <x:c r="N105" s="57"/>
      <x:c r="O105" s="57"/>
      <x:c r="P105" s="57"/>
      <x:c r="Q105" s="57" t="str">
        <x:v>Clinic</x:v>
      </x:c>
      <x:c r="R105" s="57"/>
      <x:c r="S105" s="57"/>
      <x:c r="T105" s="57"/>
      <x:c r="U105" s="57"/>
      <x:c r="V105" s="60" t="b">
        <x:v>0</x:v>
      </x:c>
      <x:c r="W105" s="57"/>
      <x:c r="X105" s="57"/>
      <x:c r="Y105" s="57"/>
      <x:c r="Z105" s="57" t="str">
        <x:v>Review TypeID</x:v>
      </x:c>
    </x:row>
    <x:row r="106" ht="15.75" hidden="0" customHeight="1">
      <x:c r="A106"/>
      <x:c r="B106"/>
      <x:c r="C106"/>
      <x:c r="D106"/>
      <x:c r="E106"/>
      <x:c r="F106"/>
      <x:c r="G106"/>
      <x:c r="H106"/>
      <x:c r="I106"/>
      <x:c r="J106"/>
      <x:c r="K106"/>
      <x:c r="L106"/>
      <x:c r="M106"/>
      <x:c r="N106"/>
      <x:c r="O106"/>
      <x:c r="P106"/>
      <x:c r="Q106"/>
      <x:c r="R106"/>
      <x:c r="S106"/>
      <x:c r="T106"/>
      <x:c r="U106"/>
      <x:c r="V106"/>
      <x:c r="W106"/>
      <x:c r="X106"/>
    </x:row>
    <x:row r="107"/>
    <x:row r="108"/>
    <x:row r="109" ht="15.75" hidden="0" customHeight="1">
      <x:c r="B109"/>
      <x:c r="C109"/>
      <x:c r="D109"/>
    </x:row>
  </x:sheetData>
  <x:conditionalFormatting sqref="Z2:Z105">
    <x:cfRule type="expression" dxfId="4" priority="1">
      <x:formula>Z2&lt;&gt;"OK"</x:formula>
    </x:cfRule>
  </x:conditionalFormatting>
  <x:dataValidations count="1">
    <x:dataValidation type="list" allowBlank="1" showDropDown="0" sqref="G2:G105">
      <x:formula1>"TYPE-BLUEPRINT-RECOVERY-ACTIVITY,TYPE-BLUEPRINT-CLINICAL-TEST,TYPE-BLUEPRINT-TREATMENT-TECHNIQUE,TYPE-BLUEPRINT-CLIENT-EDUCATION,TYPE-BLUEPRINT-ANATO-ME-STORY,TYPE-BLUEPRINT-QUIZ,TYPE-BLUEPRINT-THERAPIST-EDUCATION,TYPE-BLUEPRINT-BUSINESS-WORKFLOW,TYPE-BLUEPRINT-MARKETING-CONTENT,TYPE-BLUEPRINT-PRODUCT-MANUFACTURE"</x:formula1>
    </x:dataValidation>
  </x:dataValidations>
  <x:pageMargins left="0.7" right="0.7" top="0.75" bottom="0.75" header="0.3" footer="0.3"/>
  <x:tableParts count="1">
    <x:tablePart xmlns:r="http://schemas.openxmlformats.org/officeDocument/2006/relationships" r:id="Ra9d38b979eb24b0a"/>
  </x:tableParts>
</x:worksheet>
</file>

<file path=xl/worksheets/sheet20.xml><?xml version="1.0" encoding="utf-8"?>
<x:worksheet xmlns:x="http://schemas.openxmlformats.org/spreadsheetml/2006/main">
  <x:sheetFormatPr defaultColWidth="12.630000114440918" defaultRowHeight="15.75"/>
  <x:sheetData>
    <x:row r="1">
      <x:c r="A1" s="1" t="s">
        <x:v>768</x:v>
      </x:c>
      <x:c r="B1" s="1" t="s">
        <x:v>768</x:v>
      </x:c>
      <x:c r="C1" s="1" t="s">
        <x:v>216</x:v>
      </x:c>
      <x:c r="D1" s="1" t="s">
        <x:v>213</x:v>
      </x:c>
      <x:c r="E1" s="1" t="s">
        <x:v>388</x:v>
      </x:c>
    </x:row>
    <x:row r="2">
      <x:c r="A2" s="1" t="s">
        <x:v>769</x:v>
      </x:c>
      <x:c r="B2" s="1" t="s">
        <x:v>770</x:v>
      </x:c>
      <x:c r="C2" s="1" t="s">
        <x:v>771</x:v>
      </x:c>
      <x:c r="D2" s="1"/>
      <x:c r="E2" s="1"/>
    </x:row>
    <x:row r="3">
      <x:c r="A3" s="1" t="s">
        <x:v>772</x:v>
      </x:c>
      <x:c r="B3" s="1" t="s">
        <x:v>773</x:v>
      </x:c>
      <x:c r="C3" s="1" t="s">
        <x:v>372</x:v>
      </x:c>
      <x:c r="D3" s="1"/>
      <x:c r="E3" s="1"/>
    </x:row>
    <x:row r="4">
      <x:c r="A4" s="1" t="s">
        <x:v>774</x:v>
      </x:c>
      <x:c r="B4" s="1" t="s">
        <x:v>775</x:v>
      </x:c>
    </x:row>
    <x:row r="5">
      <x:c r="A5" s="1" t="s">
        <x:v>776</x:v>
      </x:c>
      <x:c r="B5" s="1" t="s">
        <x:v>777</x:v>
      </x:c>
      <x:c r="C5" s="1" t="s">
        <x:v>372</x:v>
      </x:c>
      <x:c r="D5" s="1"/>
      <x:c r="E5" s="1"/>
    </x:row>
    <x:row r="6">
      <x:c r="A6" s="1" t="s">
        <x:v>778</x:v>
      </x:c>
      <x:c r="B6" s="1" t="s">
        <x:v>779</x:v>
      </x:c>
    </x:row>
    <x:row r="7">
      <x:c r="A7" s="1" t="s">
        <x:v>780</x:v>
      </x:c>
      <x:c r="B7" s="1" t="s">
        <x:v>781</x:v>
      </x:c>
      <x:c r="C7" s="1" t="s">
        <x:v>372</x:v>
      </x:c>
      <x:c r="D7" s="1"/>
      <x:c r="E7" s="1"/>
    </x:row>
    <x:row r="8">
      <x:c r="A8" s="1" t="s">
        <x:v>782</x:v>
      </x:c>
      <x:c r="B8" s="1" t="s">
        <x:v>783</x:v>
      </x:c>
    </x:row>
    <x:row r="9">
      <x:c r="A9" s="1" t="s">
        <x:v>784</x:v>
      </x:c>
      <x:c r="B9" s="1" t="s">
        <x:v>785</x:v>
      </x:c>
      <x:c r="C9" s="1" t="s">
        <x:v>375</x:v>
      </x:c>
      <x:c r="D9" s="1"/>
      <x:c r="E9" s="1"/>
    </x:row>
    <x:row r="10">
      <x:c r="A10" s="1" t="s">
        <x:v>786</x:v>
      </x:c>
      <x:c r="B10" s="1" t="s">
        <x:v>787</x:v>
      </x:c>
      <x:c r="C10" s="1" t="s">
        <x:v>375</x:v>
      </x:c>
      <x:c r="D10" s="1"/>
      <x:c r="E10" s="1"/>
    </x:row>
    <x:row r="11">
      <x:c r="A11" s="1" t="s">
        <x:v>788</x:v>
      </x:c>
      <x:c r="B11" s="1" t="s">
        <x:v>789</x:v>
      </x:c>
      <x:c r="C11" s="1" t="s">
        <x:v>375</x:v>
      </x:c>
      <x:c r="D11" s="1"/>
      <x:c r="E11" s="1"/>
    </x:row>
    <x:row r="12">
      <x:c r="A12" s="1" t="s">
        <x:v>790</x:v>
      </x:c>
      <x:c r="B12" s="1" t="s">
        <x:v>791</x:v>
      </x:c>
      <x:c r="C12" s="1" t="s">
        <x:v>381</x:v>
      </x:c>
      <x:c r="D12" s="1"/>
      <x:c r="E12" s="1"/>
    </x:row>
    <x:row r="13">
      <x:c r="A13" s="1" t="s">
        <x:v>792</x:v>
      </x:c>
      <x:c r="B13" s="1" t="s">
        <x:v>793</x:v>
      </x:c>
      <x:c r="C13" s="1" t="s">
        <x:v>378</x:v>
      </x:c>
      <x:c r="D13" s="1"/>
      <x:c r="E13" s="1"/>
    </x:row>
    <x:row r="14">
      <x:c r="A14" s="1" t="s">
        <x:v>794</x:v>
      </x:c>
      <x:c r="B14" s="1" t="s">
        <x:v>795</x:v>
      </x:c>
      <x:c r="C14" s="1" t="s">
        <x:v>375</x:v>
      </x:c>
      <x:c r="D14" s="1"/>
      <x:c r="E14" s="1"/>
    </x:row>
    <x:row r="15">
      <x:c r="A15" s="1" t="s">
        <x:v>796</x:v>
      </x:c>
      <x:c r="B15" s="1" t="s">
        <x:v>797</x:v>
      </x:c>
      <x:c r="C15" s="1" t="s">
        <x:v>378</x:v>
      </x:c>
      <x:c r="D15" s="1"/>
      <x:c r="E15" s="1"/>
    </x:row>
    <x:row r="16">
      <x:c r="A16" s="1" t="s">
        <x:v>798</x:v>
      </x:c>
      <x:c r="B16" s="1" t="s">
        <x:v>799</x:v>
      </x:c>
      <x:c r="C16" s="1" t="s">
        <x:v>375</x:v>
      </x:c>
      <x:c r="D16" s="1"/>
      <x:c r="E16" s="1"/>
    </x:row>
    <x:row r="17">
      <x:c r="A17" s="1" t="s">
        <x:v>800</x:v>
      </x:c>
      <x:c r="B17" s="1" t="s">
        <x:v>801</x:v>
      </x:c>
      <x:c r="C17" s="1" t="s">
        <x:v>375</x:v>
      </x:c>
      <x:c r="D17" s="1"/>
      <x:c r="E17" s="1"/>
    </x:row>
    <x:row r="18">
      <x:c r="A18" s="1" t="s">
        <x:v>802</x:v>
      </x:c>
      <x:c r="B18" s="1" t="s">
        <x:v>803</x:v>
      </x:c>
      <x:c r="C18" s="1" t="s">
        <x:v>372</x:v>
      </x:c>
      <x:c r="D18" s="1"/>
      <x:c r="E18" s="1"/>
    </x:row>
    <x:row r="19">
      <x:c r="A19" s="1" t="s">
        <x:v>804</x:v>
      </x:c>
      <x:c r="B19" s="1" t="s">
        <x:v>805</x:v>
      </x:c>
      <x:c r="C19" s="1" t="s">
        <x:v>379</x:v>
      </x:c>
      <x:c r="D19" s="1"/>
      <x:c r="E19" s="1"/>
    </x:row>
    <x:row r="20">
      <x:c r="A20" s="1" t="s">
        <x:v>806</x:v>
      </x:c>
      <x:c r="B20" s="1" t="s">
        <x:v>807</x:v>
      </x:c>
      <x:c r="C20" s="1" t="s">
        <x:v>379</x:v>
      </x:c>
      <x:c r="D20" s="1"/>
      <x:c r="E20" s="1"/>
    </x:row>
    <x:row r="21">
      <x:c r="A21" s="16" t="s">
        <x:v>808</x:v>
      </x:c>
      <x:c r="B21" s="8" t="s">
        <x:v>809</x:v>
      </x:c>
      <x:c r="C21" s="8" t="s">
        <x:v>378</x:v>
      </x:c>
      <x:c r="D21" s="8"/>
      <x:c r="E21" s="8"/>
    </x:row>
    <x:row r="22">
      <x:c r="A22" s="16" t="s">
        <x:v>810</x:v>
      </x:c>
      <x:c r="B22" s="8" t="s">
        <x:v>811</x:v>
      </x:c>
      <x:c r="C22" s="8" t="s">
        <x:v>378</x:v>
      </x:c>
      <x:c r="D22" s="8"/>
      <x:c r="E22" s="8"/>
    </x:row>
    <x:row r="23">
      <x:c r="A23" s="16" t="s">
        <x:v>812</x:v>
      </x:c>
      <x:c r="B23" s="8" t="s">
        <x:v>813</x:v>
      </x:c>
      <x:c r="C23" s="8" t="s">
        <x:v>378</x:v>
      </x:c>
      <x:c r="D23" s="8"/>
      <x:c r="E23" s="8"/>
    </x:row>
    <x:row r="24">
      <x:c r="A24" s="16" t="s">
        <x:v>814</x:v>
      </x:c>
      <x:c r="B24" s="8" t="s">
        <x:v>815</x:v>
      </x:c>
      <x:c r="C24" s="8" t="s">
        <x:v>383</x:v>
      </x:c>
      <x:c r="D24" s="8"/>
      <x:c r="E24" s="8"/>
    </x:row>
    <x:row r="25">
      <x:c r="A25" s="16" t="s">
        <x:v>816</x:v>
      </x:c>
      <x:c r="B25" s="8" t="s">
        <x:v>817</x:v>
      </x:c>
      <x:c r="C25" s="8" t="s">
        <x:v>378</x:v>
      </x:c>
      <x:c r="D25" s="8"/>
      <x:c r="E25" s="8"/>
    </x:row>
    <x:row r="26">
      <x:c r="A26" s="16" t="s">
        <x:v>818</x:v>
      </x:c>
      <x:c r="B26" s="8" t="s">
        <x:v>819</x:v>
      </x:c>
      <x:c r="C26" s="8" t="s">
        <x:v>378</x:v>
      </x:c>
      <x:c r="D26" s="8"/>
      <x:c r="E26" s="8"/>
    </x:row>
    <x:row r="27">
      <x:c r="A27" s="16" t="s">
        <x:v>820</x:v>
      </x:c>
      <x:c r="B27" s="8" t="s">
        <x:v>821</x:v>
      </x:c>
      <x:c r="C27" s="8" t="s">
        <x:v>383</x:v>
      </x:c>
      <x:c r="D27" s="8"/>
      <x:c r="E27" s="8"/>
    </x:row>
    <x:row r="28">
      <x:c r="A28" s="16" t="s">
        <x:v>822</x:v>
      </x:c>
      <x:c r="B28" s="8" t="s">
        <x:v>823</x:v>
      </x:c>
      <x:c r="C28" s="8" t="s">
        <x:v>385</x:v>
      </x:c>
      <x:c r="D28" s="8"/>
      <x:c r="E28" s="8"/>
    </x:row>
    <x:row r="29">
      <x:c r="A29" s="16" t="s">
        <x:v>824</x:v>
      </x:c>
      <x:c r="B29" s="8" t="s">
        <x:v>825</x:v>
      </x:c>
      <x:c r="C29" s="8" t="s">
        <x:v>378</x:v>
      </x:c>
      <x:c r="D29" s="8"/>
      <x:c r="E29" s="8"/>
    </x:row>
    <x:row r="30">
      <x:c r="A30" s="16" t="s">
        <x:v>826</x:v>
      </x:c>
      <x:c r="B30" s="8" t="s">
        <x:v>827</x:v>
      </x:c>
      <x:c r="C30" s="8" t="s">
        <x:v>383</x:v>
      </x:c>
      <x:c r="D30" s="8"/>
      <x:c r="E30" s="8"/>
    </x:row>
    <x:row r="31">
      <x:c r="A31" s="2" t="s">
        <x:v>828</x:v>
      </x:c>
      <x:c r="B31" s="10" t="s">
        <x:v>829</x:v>
      </x:c>
      <x:c r="C31" s="3" t="s">
        <x:v>378</x:v>
      </x:c>
      <x:c r="D31" s="3" t="s">
        <x:v>314</x:v>
      </x:c>
      <x:c r="E31" s="3" t="s">
        <x:v>402</x:v>
      </x:c>
    </x:row>
    <x:row r="32">
      <x:c r="A32" s="17" t="s">
        <x:v>830</x:v>
      </x:c>
      <x:c r="B32" s="4" t="s">
        <x:v>831</x:v>
      </x:c>
      <x:c r="C32" s="4" t="s">
        <x:v>378</x:v>
      </x:c>
      <x:c r="D32" s="4" t="s">
        <x:v>318</x:v>
      </x:c>
      <x:c r="E32" s="4" t="s">
        <x:v>402</x:v>
      </x:c>
    </x:row>
    <x:row r="33">
      <x:c r="A33" s="2" t="s">
        <x:v>832</x:v>
      </x:c>
      <x:c r="B33" s="3" t="s">
        <x:v>833</x:v>
      </x:c>
      <x:c r="C33" s="3" t="s">
        <x:v>378</x:v>
      </x:c>
      <x:c r="D33" s="3" t="s">
        <x:v>330</x:v>
      </x:c>
      <x:c r="E33" s="3" t="s">
        <x:v>402</x:v>
      </x:c>
    </x:row>
    <x:row r="34">
      <x:c r="A34" s="17" t="s">
        <x:v>834</x:v>
      </x:c>
      <x:c r="B34" s="4" t="s">
        <x:v>835</x:v>
      </x:c>
      <x:c r="C34" s="4" t="s">
        <x:v>379</x:v>
      </x:c>
      <x:c r="D34" s="4" t="s">
        <x:v>333</x:v>
      </x:c>
      <x:c r="E34" s="4" t="s">
        <x:v>402</x:v>
      </x:c>
    </x:row>
    <x:row r="35">
      <x:c r="A35" s="2" t="s">
        <x:v>836</x:v>
      </x:c>
      <x:c r="B35" s="3" t="s">
        <x:v>837</x:v>
      </x:c>
      <x:c r="C35" s="3" t="s">
        <x:v>378</x:v>
      </x:c>
      <x:c r="D35" s="3" t="s">
        <x:v>336</x:v>
      </x:c>
      <x:c r="E35" s="3" t="s">
        <x:v>402</x:v>
      </x:c>
    </x:row>
    <x:row r="36">
      <x:c r="A36" s="17" t="s">
        <x:v>838</x:v>
      </x:c>
      <x:c r="B36" s="4" t="s">
        <x:v>839</x:v>
      </x:c>
      <x:c r="C36" s="4" t="s">
        <x:v>378</x:v>
      </x:c>
      <x:c r="D36" s="4" t="s">
        <x:v>339</x:v>
      </x:c>
      <x:c r="E36" s="4" t="s">
        <x:v>402</x:v>
      </x:c>
    </x:row>
    <x:row r="37">
      <x:c r="A37" s="2" t="s">
        <x:v>840</x:v>
      </x:c>
      <x:c r="B37" s="3" t="s">
        <x:v>841</x:v>
      </x:c>
      <x:c r="C37" s="3" t="s">
        <x:v>379</x:v>
      </x:c>
      <x:c r="D37" s="3" t="s">
        <x:v>342</x:v>
      </x:c>
      <x:c r="E37" s="3" t="s">
        <x:v>402</x:v>
      </x:c>
    </x:row>
    <x:row r="38">
      <x:c r="A38" s="17" t="s">
        <x:v>842</x:v>
      </x:c>
      <x:c r="B38" s="4" t="s">
        <x:v>843</x:v>
      </x:c>
      <x:c r="C38" s="4" t="s">
        <x:v>375</x:v>
      </x:c>
      <x:c r="D38" s="4" t="s">
        <x:v>345</x:v>
      </x:c>
      <x:c r="E38" s="4" t="s">
        <x:v>402</x:v>
      </x:c>
    </x:row>
    <x:row r="39">
      <x:c r="A39" s="2" t="s">
        <x:v>844</x:v>
      </x:c>
      <x:c r="B39" s="3" t="s">
        <x:v>845</x:v>
      </x:c>
      <x:c r="C39" s="3" t="s">
        <x:v>375</x:v>
      </x:c>
      <x:c r="D39" s="3" t="s">
        <x:v>345</x:v>
      </x:c>
      <x:c r="E39" s="3" t="s">
        <x:v>402</x:v>
      </x:c>
    </x:row>
    <x:row r="40">
      <x:c r="A40" s="17" t="s">
        <x:v>846</x:v>
      </x:c>
      <x:c r="B40" s="4" t="s">
        <x:v>847</x:v>
      </x:c>
      <x:c r="C40" s="4" t="s">
        <x:v>381</x:v>
      </x:c>
      <x:c r="D40" s="4" t="s">
        <x:v>348</x:v>
      </x:c>
      <x:c r="E40" s="4" t="s">
        <x:v>402</x:v>
      </x:c>
    </x:row>
    <x:row r="41">
      <x:c r="A41" s="2" t="s">
        <x:v>848</x:v>
      </x:c>
      <x:c r="B41" s="3" t="s">
        <x:v>849</x:v>
      </x:c>
      <x:c r="C41" s="3" t="s">
        <x:v>381</x:v>
      </x:c>
      <x:c r="D41" s="3" t="s">
        <x:v>351</x:v>
      </x:c>
      <x:c r="E41" s="3" t="s">
        <x:v>402</x:v>
      </x:c>
    </x:row>
    <x:row r="42">
      <x:c r="A42" s="17" t="s">
        <x:v>850</x:v>
      </x:c>
      <x:c r="B42" s="4" t="s">
        <x:v>851</x:v>
      </x:c>
      <x:c r="C42" s="4" t="s">
        <x:v>381</x:v>
      </x:c>
      <x:c r="D42" s="4" t="s">
        <x:v>354</x:v>
      </x:c>
      <x:c r="E42" s="4" t="s">
        <x:v>402</x:v>
      </x:c>
    </x:row>
    <x:row r="43">
      <x:c r="A43" s="2" t="s">
        <x:v>852</x:v>
      </x:c>
      <x:c r="B43" s="3" t="s">
        <x:v>853</x:v>
      </x:c>
      <x:c r="C43" s="3" t="s">
        <x:v>385</x:v>
      </x:c>
      <x:c r="D43" s="3" t="s">
        <x:v>357</x:v>
      </x:c>
      <x:c r="E43" s="3" t="s">
        <x:v>402</x:v>
      </x:c>
    </x:row>
    <x:row r="44">
      <x:c r="A44" s="17" t="s">
        <x:v>854</x:v>
      </x:c>
      <x:c r="B44" s="4" t="s">
        <x:v>855</x:v>
      </x:c>
      <x:c r="C44" s="4" t="s">
        <x:v>385</x:v>
      </x:c>
      <x:c r="D44" s="4" t="s">
        <x:v>357</x:v>
      </x:c>
      <x:c r="E44" s="4" t="s">
        <x:v>402</x:v>
      </x:c>
    </x:row>
    <x:row r="45">
      <x:c r="A45" s="2" t="s">
        <x:v>856</x:v>
      </x:c>
      <x:c r="B45" s="3" t="s">
        <x:v>857</x:v>
      </x:c>
      <x:c r="C45" s="3" t="s">
        <x:v>385</x:v>
      </x:c>
      <x:c r="D45" s="3" t="s">
        <x:v>360</x:v>
      </x:c>
      <x:c r="E45" s="3" t="s">
        <x:v>402</x:v>
      </x:c>
    </x:row>
    <x:row r="46">
      <x:c r="A46" s="17" t="s">
        <x:v>858</x:v>
      </x:c>
      <x:c r="B46" s="4" t="s">
        <x:v>859</x:v>
      </x:c>
      <x:c r="C46" s="4" t="s">
        <x:v>387</x:v>
      </x:c>
      <x:c r="D46" s="4" t="s">
        <x:v>364</x:v>
      </x:c>
      <x:c r="E46" s="4" t="s">
        <x:v>402</x:v>
      </x:c>
    </x:row>
    <x:row r="47">
      <x:c r="A47" s="2" t="s">
        <x:v>860</x:v>
      </x:c>
      <x:c r="B47" s="3" t="s">
        <x:v>861</x:v>
      </x:c>
      <x:c r="C47" s="3" t="s">
        <x:v>385</x:v>
      </x:c>
      <x:c r="D47" s="3" t="s">
        <x:v>367</x:v>
      </x:c>
      <x:c r="E47" s="3" t="s">
        <x:v>402</x:v>
      </x:c>
    </x:row>
    <x:row r="48">
      <x:c r="A48" s="17" t="s">
        <x:v>862</x:v>
      </x:c>
      <x:c r="B48" s="4" t="s">
        <x:v>863</x:v>
      </x:c>
      <x:c r="C48" s="4" t="s">
        <x:v>378</x:v>
      </x:c>
      <x:c r="D48" s="4" t="s">
        <x:v>336</x:v>
      </x:c>
      <x:c r="E48" s="4" t="s">
        <x:v>402</x:v>
      </x:c>
    </x:row>
    <x:row r="49">
      <x:c r="A49" s="2" t="s">
        <x:v>864</x:v>
      </x:c>
      <x:c r="B49" s="3" t="s">
        <x:v>865</x:v>
      </x:c>
      <x:c r="C49" s="3" t="s">
        <x:v>378</x:v>
      </x:c>
      <x:c r="D49" s="3" t="s">
        <x:v>336</x:v>
      </x:c>
      <x:c r="E49" s="3" t="s">
        <x:v>402</x:v>
      </x:c>
    </x:row>
    <x:row r="50">
      <x:c r="A50" s="17" t="s">
        <x:v>866</x:v>
      </x:c>
      <x:c r="B50" s="4" t="s">
        <x:v>867</x:v>
      </x:c>
      <x:c r="C50" s="4" t="s">
        <x:v>375</x:v>
      </x:c>
      <x:c r="D50" s="4" t="s">
        <x:v>345</x:v>
      </x:c>
      <x:c r="E50" s="4" t="s">
        <x:v>402</x:v>
      </x:c>
    </x:row>
    <x:row r="51">
      <x:c r="A51" s="2" t="s">
        <x:v>868</x:v>
      </x:c>
      <x:c r="B51" s="3" t="s">
        <x:v>869</x:v>
      </x:c>
      <x:c r="C51" s="3" t="s">
        <x:v>375</x:v>
      </x:c>
      <x:c r="D51" s="3" t="s">
        <x:v>345</x:v>
      </x:c>
      <x:c r="E51" s="3" t="s">
        <x:v>402</x:v>
      </x:c>
    </x:row>
    <x:row r="52">
      <x:c r="A52" s="17" t="s">
        <x:v>870</x:v>
      </x:c>
      <x:c r="B52" s="4" t="s">
        <x:v>871</x:v>
      </x:c>
      <x:c r="C52" s="4" t="s">
        <x:v>378</x:v>
      </x:c>
      <x:c r="D52" s="4" t="s">
        <x:v>233</x:v>
      </x:c>
      <x:c r="E52" s="4" t="s">
        <x:v>402</x:v>
      </x:c>
    </x:row>
    <x:row r="53">
      <x:c r="A53" s="2" t="s">
        <x:v>872</x:v>
      </x:c>
      <x:c r="B53" s="3" t="s">
        <x:v>873</x:v>
      </x:c>
      <x:c r="C53" s="3" t="s">
        <x:v>378</x:v>
      </x:c>
      <x:c r="D53" s="3" t="s">
        <x:v>233</x:v>
      </x:c>
      <x:c r="E53" s="3" t="s">
        <x:v>402</x:v>
      </x:c>
    </x:row>
    <x:row r="54">
      <x:c r="A54" s="17" t="s">
        <x:v>874</x:v>
      </x:c>
      <x:c r="B54" s="4" t="s">
        <x:v>875</x:v>
      </x:c>
      <x:c r="C54" s="4" t="s">
        <x:v>378</x:v>
      </x:c>
      <x:c r="D54" s="4" t="s">
        <x:v>318</x:v>
      </x:c>
      <x:c r="E54" s="4" t="s">
        <x:v>402</x:v>
      </x:c>
    </x:row>
    <x:row r="55">
      <x:c r="A55" s="2" t="s">
        <x:v>876</x:v>
      </x:c>
      <x:c r="B55" s="3" t="s">
        <x:v>877</x:v>
      </x:c>
      <x:c r="C55" s="3" t="s">
        <x:v>378</x:v>
      </x:c>
      <x:c r="D55" s="3" t="s">
        <x:v>314</x:v>
      </x:c>
      <x:c r="E55" s="3" t="s">
        <x:v>402</x:v>
      </x:c>
    </x:row>
    <x:row r="56">
      <x:c r="A56" s="17" t="s">
        <x:v>878</x:v>
      </x:c>
      <x:c r="B56" s="4" t="s">
        <x:v>879</x:v>
      </x:c>
      <x:c r="C56" s="4" t="s">
        <x:v>378</x:v>
      </x:c>
      <x:c r="D56" s="4" t="s">
        <x:v>322</x:v>
      </x:c>
      <x:c r="E56" s="4" t="s">
        <x:v>402</x:v>
      </x:c>
    </x:row>
    <x:row r="57">
      <x:c r="A57" s="2" t="s">
        <x:v>880</x:v>
      </x:c>
      <x:c r="B57" s="3" t="s">
        <x:v>881</x:v>
      </x:c>
      <x:c r="C57" s="3" t="s">
        <x:v>379</x:v>
      </x:c>
      <x:c r="D57" s="3" t="s">
        <x:v>326</x:v>
      </x:c>
      <x:c r="E57" s="3" t="s">
        <x:v>402</x:v>
      </x:c>
    </x:row>
    <x:row r="58">
      <x:c r="A58" s="1" t="s">
        <x:v>882</x:v>
      </x:c>
      <x:c r="B58" s="1" t="s">
        <x:v>883</x:v>
      </x:c>
      <x:c r="C58" s="1" t="s">
        <x:v>378</x:v>
      </x:c>
      <x:c r="D58" s="1" t="s">
        <x:v>330</x:v>
      </x:c>
      <x:c r="E58" s="1" t="s">
        <x:v>402</x:v>
      </x:c>
    </x:row>
    <x:row r="59">
      <x:c r="A59" s="1" t="s">
        <x:v>884</x:v>
      </x:c>
      <x:c r="B59" s="1" t="s">
        <x:v>885</x:v>
      </x:c>
      <x:c r="C59" s="1" t="s">
        <x:v>378</x:v>
      </x:c>
      <x:c r="D59" s="1" t="s">
        <x:v>330</x:v>
      </x:c>
      <x:c r="E59" s="1" t="s">
        <x:v>402</x:v>
      </x:c>
    </x:row>
    <x:row r="60">
      <x:c r="A60" s="1" t="s">
        <x:v>886</x:v>
      </x:c>
      <x:c r="B60" s="1" t="s">
        <x:v>887</x:v>
      </x:c>
      <x:c r="C60" s="1" t="s">
        <x:v>378</x:v>
      </x:c>
      <x:c r="D60" s="1" t="s">
        <x:v>339</x:v>
      </x:c>
      <x:c r="E60" s="1" t="s">
        <x:v>402</x:v>
      </x:c>
    </x:row>
    <x:row r="61">
      <x:c r="A61" s="1" t="s">
        <x:v>888</x:v>
      </x:c>
      <x:c r="B61" s="1" t="s">
        <x:v>889</x:v>
      </x:c>
      <x:c r="C61" s="1" t="s">
        <x:v>378</x:v>
      </x:c>
      <x:c r="D61" s="1" t="s">
        <x:v>339</x:v>
      </x:c>
      <x:c r="E61" s="1" t="s">
        <x:v>402</x:v>
      </x:c>
    </x:row>
    <x:row r="62">
      <x:c r="A62" s="1" t="s">
        <x:v>890</x:v>
      </x:c>
      <x:c r="B62" s="1" t="s">
        <x:v>891</x:v>
      </x:c>
      <x:c r="C62" s="1" t="s">
        <x:v>385</x:v>
      </x:c>
      <x:c r="D62" s="1" t="s">
        <x:v>357</x:v>
      </x:c>
      <x:c r="E62" s="1" t="s">
        <x:v>402</x:v>
      </x:c>
    </x:row>
    <x:row r="63">
      <x:c r="A63" s="1" t="s">
        <x:v>892</x:v>
      </x:c>
      <x:c r="B63" s="1" t="s">
        <x:v>893</x:v>
      </x:c>
      <x:c r="C63" s="1" t="s">
        <x:v>385</x:v>
      </x:c>
      <x:c r="D63" s="1" t="s">
        <x:v>357</x:v>
      </x:c>
      <x:c r="E63" s="1" t="s">
        <x:v>402</x:v>
      </x:c>
    </x:row>
    <x:row r="64">
      <x:c r="A64" s="1" t="s">
        <x:v>894</x:v>
      </x:c>
      <x:c r="B64" s="1" t="s">
        <x:v>895</x:v>
      </x:c>
      <x:c r="C64" s="1" t="s">
        <x:v>378</x:v>
      </x:c>
      <x:c r="D64" s="1" t="s">
        <x:v>896</x:v>
      </x:c>
      <x:c r="E64" s="1" t="s">
        <x:v>402</x:v>
      </x:c>
    </x:row>
    <x:row r="65">
      <x:c r="A65" s="1" t="s">
        <x:v>897</x:v>
      </x:c>
      <x:c r="B65" s="1" t="s">
        <x:v>898</x:v>
      </x:c>
      <x:c r="C65" s="1" t="s">
        <x:v>379</x:v>
      </x:c>
      <x:c r="D65" s="1" t="s">
        <x:v>899</x:v>
      </x:c>
      <x:c r="E65" s="1" t="s">
        <x:v>402</x:v>
      </x:c>
    </x:row>
    <x:row r="66">
      <x:c r="A66" s="1" t="s">
        <x:v>900</x:v>
      </x:c>
      <x:c r="B66" s="1" t="s">
        <x:v>901</x:v>
      </x:c>
      <x:c r="C66" s="1" t="s">
        <x:v>381</x:v>
      </x:c>
      <x:c r="D66" s="1" t="s">
        <x:v>902</x:v>
      </x:c>
      <x:c r="E66" s="1" t="s">
        <x:v>402</x:v>
      </x:c>
    </x:row>
    <x:row r="67">
      <x:c r="A67" s="1" t="s">
        <x:v>903</x:v>
      </x:c>
      <x:c r="B67" s="1" t="s">
        <x:v>904</x:v>
      </x:c>
      <x:c r="C67" s="1" t="s">
        <x:v>381</x:v>
      </x:c>
      <x:c r="D67" s="1" t="s">
        <x:v>905</x:v>
      </x:c>
      <x:c r="E67" s="1" t="s">
        <x:v>402</x:v>
      </x:c>
    </x:row>
    <x:row r="68">
      <x:c r="A68" s="1" t="s">
        <x:v>906</x:v>
      </x:c>
      <x:c r="B68" s="1" t="s">
        <x:v>907</x:v>
      </x:c>
      <x:c r="C68" s="1" t="s">
        <x:v>385</x:v>
      </x:c>
      <x:c r="D68" s="1" t="s">
        <x:v>908</x:v>
      </x:c>
      <x:c r="E68" s="1" t="s">
        <x:v>402</x:v>
      </x:c>
    </x:row>
    <x:row r="69">
      <x:c r="A69" s="1" t="s">
        <x:v>909</x:v>
      </x:c>
      <x:c r="B69" s="1" t="s">
        <x:v>910</x:v>
      </x:c>
      <x:c r="C69" s="1" t="s">
        <x:v>381</x:v>
      </x:c>
      <x:c r="D69" s="1" t="s">
        <x:v>348</x:v>
      </x:c>
      <x:c r="E69" s="1" t="s">
        <x:v>402</x:v>
      </x:c>
    </x:row>
    <x:row r="70">
      <x:c r="A70" s="1" t="s">
        <x:v>911</x:v>
      </x:c>
      <x:c r="B70" s="1" t="s">
        <x:v>912</x:v>
      </x:c>
      <x:c r="C70" s="1" t="s">
        <x:v>913</x:v>
      </x:c>
      <x:c r="E70" s="1" t="s">
        <x:v>914</x:v>
      </x:c>
    </x:row>
    <x:row r="71">
      <x:c r="A71" s="1" t="s">
        <x:v>915</x:v>
      </x:c>
      <x:c r="B71" s="1" t="s">
        <x:v>916</x:v>
      </x:c>
      <x:c r="C71" s="1" t="s">
        <x:v>913</x:v>
      </x:c>
      <x:c r="E71" s="1" t="s">
        <x:v>914</x:v>
      </x:c>
    </x:row>
    <x:row r="72">
      <x:c r="A72" s="1" t="s">
        <x:v>917</x:v>
      </x:c>
      <x:c r="B72" s="1" t="s">
        <x:v>918</x:v>
      </x:c>
      <x:c r="C72" s="1" t="s">
        <x:v>913</x:v>
      </x:c>
      <x:c r="E72" s="1" t="s">
        <x:v>914</x:v>
      </x:c>
    </x:row>
    <x:row r="73">
      <x:c r="A73" s="1" t="s">
        <x:v>919</x:v>
      </x:c>
      <x:c r="B73" s="1" t="s">
        <x:v>920</x:v>
      </x:c>
      <x:c r="C73" s="1" t="s">
        <x:v>913</x:v>
      </x:c>
      <x:c r="E73" s="1" t="s">
        <x:v>914</x:v>
      </x:c>
    </x:row>
    <x:row r="74">
      <x:c r="A74" s="1" t="s">
        <x:v>921</x:v>
      </x:c>
      <x:c r="B74" s="1" t="s">
        <x:v>922</x:v>
      </x:c>
      <x:c r="C74" s="1" t="s">
        <x:v>913</x:v>
      </x:c>
      <x:c r="E74" s="1" t="s">
        <x:v>914</x:v>
      </x:c>
    </x:row>
    <x:row r="75">
      <x:c r="A75" s="1" t="s">
        <x:v>923</x:v>
      </x:c>
      <x:c r="B75" s="1" t="s">
        <x:v>924</x:v>
      </x:c>
      <x:c r="C75" s="1" t="s">
        <x:v>375</x:v>
      </x:c>
      <x:c r="E75" s="1" t="s">
        <x:v>914</x:v>
      </x:c>
    </x:row>
    <x:row r="76">
      <x:c r="A76" s="1" t="s">
        <x:v>925</x:v>
      </x:c>
      <x:c r="B76" s="1" t="s">
        <x:v>926</x:v>
      </x:c>
      <x:c r="C76" s="1" t="s">
        <x:v>375</x:v>
      </x:c>
      <x:c r="E76" s="1" t="s">
        <x:v>914</x:v>
      </x:c>
    </x:row>
    <x:row r="77">
      <x:c r="A77" s="1" t="s">
        <x:v>927</x:v>
      </x:c>
      <x:c r="B77" s="1" t="s">
        <x:v>928</x:v>
      </x:c>
      <x:c r="C77" s="1" t="s">
        <x:v>379</x:v>
      </x:c>
      <x:c r="E77" s="1" t="s">
        <x:v>914</x:v>
      </x:c>
    </x:row>
    <x:row r="78">
      <x:c r="A78" s="1" t="s">
        <x:v>929</x:v>
      </x:c>
      <x:c r="B78" s="1" t="s">
        <x:v>930</x:v>
      </x:c>
      <x:c r="C78" s="1" t="s">
        <x:v>378</x:v>
      </x:c>
      <x:c r="E78" s="1" t="s">
        <x:v>914</x:v>
      </x:c>
    </x:row>
    <x:row r="79">
      <x:c r="A79" s="1" t="s">
        <x:v>931</x:v>
      </x:c>
      <x:c r="B79" s="1" t="s">
        <x:v>932</x:v>
      </x:c>
      <x:c r="C79" s="1" t="s">
        <x:v>378</x:v>
      </x:c>
      <x:c r="E79" s="1" t="s">
        <x:v>914</x:v>
      </x:c>
    </x:row>
    <x:row r="80">
      <x:c r="A80" s="1" t="s">
        <x:v>933</x:v>
      </x:c>
      <x:c r="B80" s="1" t="s">
        <x:v>934</x:v>
      </x:c>
      <x:c r="C80" s="1" t="s">
        <x:v>913</x:v>
      </x:c>
      <x:c r="D80" s="15"/>
      <x:c r="E80" s="13"/>
    </x:row>
    <x:row r="81">
      <x:c r="A81" s="1" t="s">
        <x:v>935</x:v>
      </x:c>
      <x:c r="B81" s="1" t="s">
        <x:v>936</x:v>
      </x:c>
      <x:c r="C81" s="1" t="s">
        <x:v>913</x:v>
      </x:c>
      <x:c r="D81" s="15"/>
      <x:c r="E81" s="13"/>
    </x:row>
    <x:row r="82">
      <x:c r="A82" s="1" t="s">
        <x:v>937</x:v>
      </x:c>
      <x:c r="B82" s="1" t="s">
        <x:v>938</x:v>
      </x:c>
      <x:c r="C82" s="1" t="s">
        <x:v>378</x:v>
      </x:c>
      <x:c r="D82" s="15"/>
      <x:c r="E82" s="13"/>
    </x:row>
    <x:row r="83">
      <x:c r="A83" s="1" t="s">
        <x:v>939</x:v>
      </x:c>
      <x:c r="B83" s="1" t="s">
        <x:v>940</x:v>
      </x:c>
      <x:c r="C83" s="1" t="s">
        <x:v>378</x:v>
      </x:c>
      <x:c r="D83" s="15"/>
      <x:c r="E83" s="13"/>
    </x:row>
    <x:row r="84">
      <x:c r="A84" s="1" t="s">
        <x:v>941</x:v>
      </x:c>
      <x:c r="B84" s="1" t="s">
        <x:v>942</x:v>
      </x:c>
      <x:c r="C84" s="1" t="s">
        <x:v>943</x:v>
      </x:c>
      <x:c r="D84" s="15"/>
      <x:c r="E84" s="13"/>
    </x:row>
    <x:row r="85">
      <x:c r="A85" s="1" t="s">
        <x:v>944</x:v>
      </x:c>
      <x:c r="B85" s="1" t="s">
        <x:v>945</x:v>
      </x:c>
      <x:c r="C85" s="1" t="s">
        <x:v>375</x:v>
      </x:c>
      <x:c r="D85" s="15"/>
      <x:c r="E85" s="13"/>
    </x:row>
    <x:row r="86">
      <x:c r="A86" s="1" t="s">
        <x:v>946</x:v>
      </x:c>
      <x:c r="B86" s="1" t="s">
        <x:v>947</x:v>
      </x:c>
      <x:c r="C86" s="1" t="s">
        <x:v>381</x:v>
      </x:c>
      <x:c r="D86" s="15"/>
      <x:c r="E86" s="13"/>
    </x:row>
    <x:row r="87">
      <x:c r="A87" s="1" t="s">
        <x:v>948</x:v>
      </x:c>
      <x:c r="B87" s="1" t="s">
        <x:v>949</x:v>
      </x:c>
      <x:c r="C87" s="1" t="s">
        <x:v>913</x:v>
      </x:c>
      <x:c r="D87" s="15"/>
      <x:c r="E87" s="13"/>
    </x:row>
    <x:row r="88">
      <x:c r="A88" s="1" t="s">
        <x:v>950</x:v>
      </x:c>
      <x:c r="B88" s="1" t="s">
        <x:v>951</x:v>
      </x:c>
      <x:c r="C88" s="1" t="s">
        <x:v>913</x:v>
      </x:c>
      <x:c r="D88" s="15"/>
      <x:c r="E88" s="13"/>
    </x:row>
    <x:row r="89">
      <x:c r="A89" s="1" t="s">
        <x:v>952</x:v>
      </x:c>
      <x:c r="B89" s="1" t="s">
        <x:v>953</x:v>
      </x:c>
      <x:c r="C89" s="1" t="s">
        <x:v>913</x:v>
      </x:c>
      <x:c r="D89" s="15"/>
      <x:c r="E89" s="13"/>
    </x:row>
    <x:row r="90">
      <x:c r="C90" s="13"/>
      <x:c r="D90" s="15"/>
      <x:c r="E90" s="13"/>
    </x:row>
    <x:row r="91">
      <x:c r="C91" s="13"/>
      <x:c r="D91" s="15"/>
      <x:c r="E91" s="13"/>
    </x:row>
    <x:row r="92">
      <x:c r="C92" s="13"/>
      <x:c r="D92" s="15"/>
      <x:c r="E92" s="13"/>
    </x:row>
    <x:row r="93">
      <x:c r="C93" s="13"/>
      <x:c r="D93" s="15"/>
      <x:c r="E93" s="13"/>
    </x:row>
    <x:row r="94">
      <x:c r="C94" s="13"/>
      <x:c r="D94" s="15"/>
      <x:c r="E94" s="13"/>
    </x:row>
    <x:row r="95">
      <x:c r="C95" s="13"/>
      <x:c r="D95" s="15"/>
      <x:c r="E95" s="13"/>
    </x:row>
    <x:row r="96">
      <x:c r="C96" s="13"/>
      <x:c r="D96" s="15"/>
      <x:c r="E96" s="13"/>
    </x:row>
    <x:row r="97">
      <x:c r="C97" s="13"/>
      <x:c r="D97" s="15"/>
      <x:c r="E97" s="13"/>
    </x:row>
    <x:row r="98">
      <x:c r="C98" s="13"/>
      <x:c r="D98" s="15"/>
      <x:c r="E98" s="13"/>
    </x:row>
    <x:row r="99">
      <x:c r="C99" s="13"/>
      <x:c r="D99" s="15"/>
      <x:c r="E99" s="13"/>
    </x:row>
    <x:row r="100">
      <x:c r="C100" s="13"/>
      <x:c r="D100" s="15"/>
      <x:c r="E100" s="13"/>
    </x:row>
    <x:row r="101">
      <x:c r="C101" s="13"/>
      <x:c r="D101" s="15"/>
      <x:c r="E101" s="13"/>
    </x:row>
    <x:row r="102">
      <x:c r="C102" s="13"/>
      <x:c r="D102" s="15"/>
      <x:c r="E102" s="13"/>
    </x:row>
    <x:row r="103">
      <x:c r="C103" s="13"/>
      <x:c r="D103" s="15"/>
      <x:c r="E103" s="13"/>
    </x:row>
    <x:row r="104">
      <x:c r="C104" s="13"/>
      <x:c r="D104" s="15"/>
      <x:c r="E104" s="13"/>
    </x:row>
    <x:row r="105">
      <x:c r="C105" s="13"/>
      <x:c r="D105" s="15"/>
      <x:c r="E105" s="13"/>
    </x:row>
  </x:sheetData>
  <x:pageMargins left="0.7" right="0.7" top="0.75" bottom="0.75" header="0.3" footer="0.3"/>
  <x:tableParts count="2">
    <x:tablePart xmlns:r="http://schemas.openxmlformats.org/officeDocument/2006/relationships" r:id="Re3135c87bdab47b7"/>
    <x:tablePart xmlns:r="http://schemas.openxmlformats.org/officeDocument/2006/relationships" r:id="Ra4ed9c07db6c47a1"/>
  </x:tableParts>
</x:worksheet>
</file>

<file path=xl/worksheets/sheet21.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2" hidden="0" customWidth="1"/>
    <x:col min="2" max="2" width="20.6299991607666" hidden="0" customWidth="1"/>
    <x:col min="3" max="3" width="17.6299991607666" hidden="0" customWidth="1"/>
    <x:col min="4" max="4" width="14" hidden="0" customWidth="1"/>
  </x:cols>
  <x:sheetData>
    <x:row r="1" ht="15.75" hidden="0" customHeight="1">
      <x:c r="A1" s="58" t="str">
        <x:v>LinkID</x:v>
      </x:c>
      <x:c r="B1" s="58" t="str">
        <x:v>BlueprintID</x:v>
      </x:c>
      <x:c r="C1" s="58" t="str">
        <x:v>TagID</x:v>
      </x:c>
      <x:c r="D1" s="58" t="str">
        <x:v>Validation Status</x:v>
      </x:c>
    </x:row>
    <x:row r="2" ht="15.75" hidden="0" customHeight="1">
      <x:c r="A2" s="57" t="str">
        <x:v>BLTAG-006</x:v>
      </x:c>
      <x:c r="B2" s="57" t="str">
        <x:v>BLUE-ART-BAL-001</x:v>
      </x:c>
      <x:c r="C2" s="57" t="str">
        <x:v>TAG-BALANCE</x:v>
      </x:c>
      <x:c r="D2" s="57" t="str">
        <x:v>OK</x:v>
      </x:c>
    </x:row>
    <x:row r="3" ht="15.75" hidden="0" customHeight="1">
      <x:c r="A3" s="57" t="str">
        <x:v>BLTAG-008</x:v>
      </x:c>
      <x:c r="B3" s="57" t="str">
        <x:v>BLUE-ART-CX-001</x:v>
      </x:c>
      <x:c r="C3" s="57" t="str">
        <x:v>TAG-CX</x:v>
      </x:c>
      <x:c r="D3" s="57" t="str">
        <x:v>OK</x:v>
      </x:c>
    </x:row>
    <x:row r="4" ht="15.75" hidden="0" customHeight="1">
      <x:c r="A4" s="57" t="str">
        <x:v>BLTAG-061</x:v>
      </x:c>
      <x:c r="B4" s="57" t="str">
        <x:v>BLUE-ART-NEURO-001</x:v>
      </x:c>
      <x:c r="C4" s="57" t="str">
        <x:v>TAG-NEURO</x:v>
      </x:c>
      <x:c r="D4" s="57" t="str">
        <x:v>OK</x:v>
      </x:c>
    </x:row>
    <x:row r="5" ht="15.75" hidden="0" customHeight="1">
      <x:c r="A5" s="57" t="str">
        <x:v>BLTAG-062</x:v>
      </x:c>
      <x:c r="B5" s="57" t="str">
        <x:v>BLUE-ART-NEURO-001</x:v>
      </x:c>
      <x:c r="C5" s="57" t="str">
        <x:v>TAG-SLIDER</x:v>
      </x:c>
      <x:c r="D5" s="57" t="str">
        <x:v>OK</x:v>
      </x:c>
    </x:row>
    <x:row r="6" ht="15.75" hidden="0" customHeight="1">
      <x:c r="A6" s="57" t="str">
        <x:v>BLTAG-065</x:v>
      </x:c>
      <x:c r="B6" s="57" t="str">
        <x:v>BLUE-ART-NEURO-002</x:v>
      </x:c>
      <x:c r="C6" s="57" t="str">
        <x:v>TAG-NEURO</x:v>
      </x:c>
      <x:c r="D6" s="57" t="str">
        <x:v>OK</x:v>
      </x:c>
    </x:row>
    <x:row r="7" ht="15.75" hidden="0" customHeight="1">
      <x:c r="A7" s="57" t="str">
        <x:v>BLTAG-066</x:v>
      </x:c>
      <x:c r="B7" s="57" t="str">
        <x:v>BLUE-ART-NEURO-002</x:v>
      </x:c>
      <x:c r="C7" s="57" t="str">
        <x:v>TAG-TENSIONER</x:v>
      </x:c>
      <x:c r="D7" s="57" t="str">
        <x:v>OK</x:v>
      </x:c>
    </x:row>
    <x:row r="8" ht="15.75" hidden="0" customHeight="1">
      <x:c r="A8" s="57" t="str">
        <x:v>BLTAG-063</x:v>
      </x:c>
      <x:c r="B8" s="57" t="str">
        <x:v>BLUE-ART-NEURO-003</x:v>
      </x:c>
      <x:c r="C8" s="57" t="str">
        <x:v>TAG-NEURO</x:v>
      </x:c>
      <x:c r="D8" s="57" t="str">
        <x:v>OK</x:v>
      </x:c>
    </x:row>
    <x:row r="9" ht="15.75" hidden="0" customHeight="1">
      <x:c r="A9" s="57" t="str">
        <x:v>BLTAG-064</x:v>
      </x:c>
      <x:c r="B9" s="57" t="str">
        <x:v>BLUE-ART-NEURO-003</x:v>
      </x:c>
      <x:c r="C9" s="57" t="str">
        <x:v>TAG-SLIDER</x:v>
      </x:c>
      <x:c r="D9" s="57" t="str">
        <x:v>OK</x:v>
      </x:c>
    </x:row>
    <x:row r="10" ht="15.75" hidden="0" customHeight="1">
      <x:c r="A10" s="57" t="str">
        <x:v>BLTAG-067</x:v>
      </x:c>
      <x:c r="B10" s="57" t="str">
        <x:v>BLUE-ART-NEURO-004</x:v>
      </x:c>
      <x:c r="C10" s="57" t="str">
        <x:v>TAG-NEURO</x:v>
      </x:c>
      <x:c r="D10" s="57" t="str">
        <x:v>OK</x:v>
      </x:c>
    </x:row>
    <x:row r="11" ht="15.75" hidden="0" customHeight="1">
      <x:c r="A11" s="57" t="str">
        <x:v>BLTAG-068</x:v>
      </x:c>
      <x:c r="B11" s="57" t="str">
        <x:v>BLUE-ART-NEURO-004</x:v>
      </x:c>
      <x:c r="C11" s="57" t="str">
        <x:v>TAG-TENSIONER</x:v>
      </x:c>
      <x:c r="D11" s="57" t="str">
        <x:v>OK</x:v>
      </x:c>
    </x:row>
    <x:row r="12" ht="15.75" hidden="0" customHeight="1">
      <x:c r="A12" s="57" t="str">
        <x:v>BLTAG-009</x:v>
      </x:c>
      <x:c r="B12" s="57" t="str">
        <x:v>BLUE-ART-RC-001</x:v>
      </x:c>
      <x:c r="C12" s="57" t="str">
        <x:v>TAG-RC</x:v>
      </x:c>
      <x:c r="D12" s="57" t="str">
        <x:v>OK</x:v>
      </x:c>
    </x:row>
    <x:row r="13" ht="15.75" hidden="0" customHeight="1">
      <x:c r="A13" s="57" t="str">
        <x:v>BLTAG-004</x:v>
      </x:c>
      <x:c r="B13" s="57" t="str">
        <x:v>BLUE-ART-ROLL-001</x:v>
      </x:c>
      <x:c r="C13" s="57" t="str">
        <x:v>TAG-CORE</x:v>
      </x:c>
      <x:c r="D13" s="57" t="str">
        <x:v>OK</x:v>
      </x:c>
    </x:row>
    <x:row r="14" ht="15.75" hidden="0" customHeight="1">
      <x:c r="A14" s="57" t="str">
        <x:v>BLTAG-005</x:v>
      </x:c>
      <x:c r="B14" s="57" t="str">
        <x:v>BLUE-ART-ROLL-001</x:v>
      </x:c>
      <x:c r="C14" s="57" t="str">
        <x:v>TAG-FUNC</x:v>
      </x:c>
      <x:c r="D14" s="57" t="str">
        <x:v>OK</x:v>
      </x:c>
    </x:row>
    <x:row r="15" ht="15.75" hidden="0" customHeight="1">
      <x:c r="A15" s="57" t="str">
        <x:v>BLTAG-010</x:v>
      </x:c>
      <x:c r="B15" s="57" t="str">
        <x:v>BLUE-ART-SA-001</x:v>
      </x:c>
      <x:c r="C15" s="57" t="str">
        <x:v>TAG-STAB</x:v>
      </x:c>
      <x:c r="D15" s="57" t="str">
        <x:v>OK</x:v>
      </x:c>
    </x:row>
    <x:row r="16" ht="15.75" hidden="0" customHeight="1">
      <x:c r="A16" s="57" t="str">
        <x:v>BLTAG-001</x:v>
      </x:c>
      <x:c r="B16" s="57" t="str">
        <x:v>BLUE-ART-TRA-001</x:v>
      </x:c>
      <x:c r="C16" s="57" t="str">
        <x:v>TAG-CORE</x:v>
      </x:c>
      <x:c r="D16" s="57" t="str">
        <x:v>OK</x:v>
      </x:c>
    </x:row>
    <x:row r="17" ht="15.75" hidden="0" customHeight="1">
      <x:c r="A17" s="57" t="str">
        <x:v>BLTAG-002</x:v>
      </x:c>
      <x:c r="B17" s="57" t="str">
        <x:v>BLUE-ART-TRA-001</x:v>
      </x:c>
      <x:c r="C17" s="57" t="str">
        <x:v>TAG-LUMBAR</x:v>
      </x:c>
      <x:c r="D17" s="57" t="str">
        <x:v>OK</x:v>
      </x:c>
    </x:row>
    <x:row r="18" ht="15.75" hidden="0" customHeight="1">
      <x:c r="A18" s="57" t="str">
        <x:v>BLTAG-003</x:v>
      </x:c>
      <x:c r="B18" s="57" t="str">
        <x:v>BLUE-ART-TRA-001</x:v>
      </x:c>
      <x:c r="C18" s="57" t="str">
        <x:v>TAG-MOTOR</x:v>
      </x:c>
      <x:c r="D18" s="57" t="str">
        <x:v>OK</x:v>
      </x:c>
    </x:row>
    <x:row r="19" ht="15.75" hidden="0" customHeight="1">
      <x:c r="A19" s="57" t="str">
        <x:v>BLTAG-007</x:v>
      </x:c>
      <x:c r="B19" s="57" t="str">
        <x:v>BLUE-ART-VEST-001</x:v>
      </x:c>
      <x:c r="C19" s="57" t="str">
        <x:v>TAG-VEST</x:v>
      </x:c>
      <x:c r="D19" s="57" t="str">
        <x:v>OK</x:v>
      </x:c>
    </x:row>
    <x:row r="20" ht="15.75" hidden="0" customHeight="1">
      <x:c r="A20" s="57" t="str">
        <x:v>BLTAG-011</x:v>
      </x:c>
      <x:c r="B20" s="57" t="str">
        <x:v>BLUE-TEST-CX-004</x:v>
      </x:c>
      <x:c r="C20" s="57" t="str">
        <x:v>TAG-CX</x:v>
      </x:c>
      <x:c r="D20" s="57" t="str">
        <x:v>OK</x:v>
      </x:c>
    </x:row>
    <x:row r="21" ht="15.75" hidden="0" customHeight="1">
      <x:c r="A21" s="57" t="str">
        <x:v>BLTAG-012</x:v>
      </x:c>
      <x:c r="B21" s="57" t="str">
        <x:v>BLUE-TEST-CX-004</x:v>
      </x:c>
      <x:c r="C21" s="57" t="str">
        <x:v>TAG-NEURO</x:v>
      </x:c>
      <x:c r="D21" s="57" t="str">
        <x:v>OK</x:v>
      </x:c>
    </x:row>
    <x:row r="22" ht="15.75" hidden="0" customHeight="1">
      <x:c r="A22" s="57" t="str">
        <x:v>BLTAG-013</x:v>
      </x:c>
      <x:c r="B22" s="57" t="str">
        <x:v>BLUE-TEST-CX-005</x:v>
      </x:c>
      <x:c r="C22" s="57" t="str">
        <x:v>TAG-CX</x:v>
      </x:c>
      <x:c r="D22" s="57" t="str">
        <x:v>OK</x:v>
      </x:c>
    </x:row>
    <x:row r="23" ht="15.75" hidden="0" customHeight="1">
      <x:c r="A23" s="57" t="str">
        <x:v>BLTAG-014</x:v>
      </x:c>
      <x:c r="B23" s="57" t="str">
        <x:v>BLUE-TEST-CX-005</x:v>
      </x:c>
      <x:c r="C23" s="57" t="str">
        <x:v>TAG-INSTABILITY</x:v>
      </x:c>
      <x:c r="D23" s="57" t="str">
        <x:v>Invalid TagID</x:v>
      </x:c>
    </x:row>
    <x:row r="24" ht="15.75" hidden="0" customHeight="1">
      <x:c r="A24" s="57" t="str">
        <x:v>BLTAG-015</x:v>
      </x:c>
      <x:c r="B24" s="57" t="str">
        <x:v>BLUE-TEST-CX-006</x:v>
      </x:c>
      <x:c r="C24" s="57" t="str">
        <x:v>TAG-CX</x:v>
      </x:c>
      <x:c r="D24" s="57" t="str">
        <x:v>OK</x:v>
      </x:c>
    </x:row>
    <x:row r="25" ht="15.75" hidden="0" customHeight="1">
      <x:c r="A25" s="57" t="str">
        <x:v>BLTAG-016</x:v>
      </x:c>
      <x:c r="B25" s="57" t="str">
        <x:v>BLUE-TEST-CX-006</x:v>
      </x:c>
      <x:c r="C25" s="57" t="str">
        <x:v>TAG-INSTABILITY</x:v>
      </x:c>
      <x:c r="D25" s="57" t="str">
        <x:v>Invalid TagID</x:v>
      </x:c>
    </x:row>
    <x:row r="26" ht="15.75" hidden="0" customHeight="1">
      <x:c r="A26" s="57" t="str">
        <x:v>BLTAG-029</x:v>
      </x:c>
      <x:c r="B26" s="57" t="str">
        <x:v>BLUE-TEST-NEURO-001</x:v>
      </x:c>
      <x:c r="C26" s="57" t="str">
        <x:v>TAG-NEURO</x:v>
      </x:c>
      <x:c r="D26" s="57" t="str">
        <x:v>OK</x:v>
      </x:c>
    </x:row>
    <x:row r="27" ht="15.75" hidden="0" customHeight="1">
      <x:c r="A27" s="57" t="str">
        <x:v>BLTAG-081</x:v>
      </x:c>
      <x:c r="B27" s="57" t="str">
        <x:v>BLUE-TEST-NEURO-001</x:v>
      </x:c>
      <x:c r="C27" s="57" t="str">
        <x:v>TAG-HEADACHE</x:v>
      </x:c>
      <x:c r="D27" s="57" t="str">
        <x:v>OK</x:v>
      </x:c>
    </x:row>
    <x:row r="28" ht="15.75" hidden="0" customHeight="1">
      <x:c r="A28" s="57" t="str">
        <x:v>BLTAG-030</x:v>
      </x:c>
      <x:c r="B28" s="57" t="str">
        <x:v>BLUE-TEST-NEURO-002</x:v>
      </x:c>
      <x:c r="C28" s="57" t="str">
        <x:v>TAG-NEURO</x:v>
      </x:c>
      <x:c r="D28" s="57" t="str">
        <x:v>OK</x:v>
      </x:c>
    </x:row>
    <x:row r="29" ht="15.75" hidden="0" customHeight="1">
      <x:c r="A29" s="57" t="str">
        <x:v>BLTAG-082</x:v>
      </x:c>
      <x:c r="B29" s="57" t="str">
        <x:v>BLUE-TEST-NEURO-002</x:v>
      </x:c>
      <x:c r="C29" s="57" t="str">
        <x:v>TAG-HEADACHE</x:v>
      </x:c>
      <x:c r="D29" s="57" t="str">
        <x:v>OK</x:v>
      </x:c>
    </x:row>
    <x:row r="30" ht="15.75" hidden="0" customHeight="1">
      <x:c r="A30" s="57" t="str">
        <x:v>BLTAG-031</x:v>
      </x:c>
      <x:c r="B30" s="57" t="str">
        <x:v>BLUE-TEST-NEURO-003</x:v>
      </x:c>
      <x:c r="C30" s="57" t="str">
        <x:v>TAG-NEURO</x:v>
      </x:c>
      <x:c r="D30" s="57" t="str">
        <x:v>OK</x:v>
      </x:c>
    </x:row>
    <x:row r="31" ht="15.75" hidden="0" customHeight="1">
      <x:c r="A31" s="57" t="str">
        <x:v>BLTAG-046</x:v>
      </x:c>
      <x:c r="B31" s="57" t="str">
        <x:v>BLUE-TEST-NEURO-003</x:v>
      </x:c>
      <x:c r="C31" s="57" t="str">
        <x:v>TAG-ULNT</x:v>
      </x:c>
      <x:c r="D31" s="57" t="str">
        <x:v>OK</x:v>
      </x:c>
    </x:row>
    <x:row r="32" ht="15.75" hidden="0" customHeight="1">
      <x:c r="A32" s="57" t="str">
        <x:v>BLTAG-032</x:v>
      </x:c>
      <x:c r="B32" s="57" t="str">
        <x:v>BLUE-TEST-NEURO-004</x:v>
      </x:c>
      <x:c r="C32" s="57" t="str">
        <x:v>TAG-NEURO</x:v>
      </x:c>
      <x:c r="D32" s="57" t="str">
        <x:v>OK</x:v>
      </x:c>
    </x:row>
    <x:row r="33" ht="15.75" hidden="0" customHeight="1">
      <x:c r="A33" s="57" t="str">
        <x:v>BLTAG-047</x:v>
      </x:c>
      <x:c r="B33" s="57" t="str">
        <x:v>BLUE-TEST-NEURO-004</x:v>
      </x:c>
      <x:c r="C33" s="57" t="str">
        <x:v>TAG-ULNT</x:v>
      </x:c>
      <x:c r="D33" s="57" t="str">
        <x:v>OK</x:v>
      </x:c>
    </x:row>
    <x:row r="34" ht="15.75" hidden="0" customHeight="1">
      <x:c r="A34" s="57" t="str">
        <x:v>BLTAG-033</x:v>
      </x:c>
      <x:c r="B34" s="57" t="str">
        <x:v>BLUE-TEST-NEURO-005</x:v>
      </x:c>
      <x:c r="C34" s="57" t="str">
        <x:v>TAG-NEURO</x:v>
      </x:c>
      <x:c r="D34" s="57" t="str">
        <x:v>OK</x:v>
      </x:c>
    </x:row>
    <x:row r="35" ht="15.75" hidden="0" customHeight="1">
      <x:c r="A35" s="57" t="str">
        <x:v>BLTAG-048</x:v>
      </x:c>
      <x:c r="B35" s="57" t="str">
        <x:v>BLUE-TEST-NEURO-005</x:v>
      </x:c>
      <x:c r="C35" s="57" t="str">
        <x:v>TAG-ULNT</x:v>
      </x:c>
      <x:c r="D35" s="57" t="str">
        <x:v>OK</x:v>
      </x:c>
    </x:row>
    <x:row r="36" ht="15.75" hidden="0" customHeight="1">
      <x:c r="A36" s="57" t="str">
        <x:v>BLTAG-034</x:v>
      </x:c>
      <x:c r="B36" s="57" t="str">
        <x:v>BLUE-TEST-NEURO-006</x:v>
      </x:c>
      <x:c r="C36" s="57" t="str">
        <x:v>TAG-NEURO</x:v>
      </x:c>
      <x:c r="D36" s="57" t="str">
        <x:v>OK</x:v>
      </x:c>
    </x:row>
    <x:row r="37" ht="15.75" hidden="0" customHeight="1">
      <x:c r="A37" s="57" t="str">
        <x:v>BLTAG-049</x:v>
      </x:c>
      <x:c r="B37" s="57" t="str">
        <x:v>BLUE-TEST-NEURO-006</x:v>
      </x:c>
      <x:c r="C37" s="57" t="str">
        <x:v>TAG-ULNT</x:v>
      </x:c>
      <x:c r="D37" s="57" t="str">
        <x:v>OK</x:v>
      </x:c>
    </x:row>
    <x:row r="38" ht="15.75" hidden="0" customHeight="1">
      <x:c r="A38" s="57" t="str">
        <x:v>BLTAG-035</x:v>
      </x:c>
      <x:c r="B38" s="57" t="str">
        <x:v>BLUE-TEST-NEURO-007</x:v>
      </x:c>
      <x:c r="C38" s="57" t="str">
        <x:v>TAG-NEURO</x:v>
      </x:c>
      <x:c r="D38" s="57" t="str">
        <x:v>OK</x:v>
      </x:c>
    </x:row>
    <x:row r="39" ht="15.75" hidden="0" customHeight="1">
      <x:c r="A39" s="57" t="str">
        <x:v>BLTAG-050</x:v>
      </x:c>
      <x:c r="B39" s="57" t="str">
        <x:v>BLUE-TEST-NEURO-007</x:v>
      </x:c>
      <x:c r="C39" s="57" t="str">
        <x:v>TAG-ULNT</x:v>
      </x:c>
      <x:c r="D39" s="57" t="str">
        <x:v>OK</x:v>
      </x:c>
    </x:row>
    <x:row r="40" ht="15.75" hidden="0" customHeight="1">
      <x:c r="A40" s="57" t="str">
        <x:v>BLTAG-036</x:v>
      </x:c>
      <x:c r="B40" s="57" t="str">
        <x:v>BLUE-TEST-NEURO-008</x:v>
      </x:c>
      <x:c r="C40" s="57" t="str">
        <x:v>TAG-NEURO</x:v>
      </x:c>
      <x:c r="D40" s="57" t="str">
        <x:v>OK</x:v>
      </x:c>
    </x:row>
    <x:row r="41" ht="15.75" hidden="0" customHeight="1">
      <x:c r="A41" s="57" t="str">
        <x:v>BLTAG-051</x:v>
      </x:c>
      <x:c r="B41" s="57" t="str">
        <x:v>BLUE-TEST-NEURO-008</x:v>
      </x:c>
      <x:c r="C41" s="57" t="str">
        <x:v>TAG-LLNT</x:v>
      </x:c>
      <x:c r="D41" s="57" t="str">
        <x:v>OK</x:v>
      </x:c>
    </x:row>
    <x:row r="42" ht="15.75" hidden="0" customHeight="1">
      <x:c r="A42" s="57" t="str">
        <x:v>BLTAG-037</x:v>
      </x:c>
      <x:c r="B42" s="57" t="str">
        <x:v>BLUE-TEST-NEURO-009</x:v>
      </x:c>
      <x:c r="C42" s="57" t="str">
        <x:v>TAG-NEURO</x:v>
      </x:c>
      <x:c r="D42" s="57" t="str">
        <x:v>OK</x:v>
      </x:c>
    </x:row>
    <x:row r="43" ht="15.75" hidden="0" customHeight="1">
      <x:c r="A43" s="57" t="str">
        <x:v>BLTAG-052</x:v>
      </x:c>
      <x:c r="B43" s="57" t="str">
        <x:v>BLUE-TEST-NEURO-009</x:v>
      </x:c>
      <x:c r="C43" s="57" t="str">
        <x:v>TAG-LLNT</x:v>
      </x:c>
      <x:c r="D43" s="57" t="str">
        <x:v>OK</x:v>
      </x:c>
    </x:row>
    <x:row r="44" ht="15.75" hidden="0" customHeight="1">
      <x:c r="A44" s="57" t="str">
        <x:v>BLTAG-038</x:v>
      </x:c>
      <x:c r="B44" s="57" t="str">
        <x:v>BLUE-TEST-NEURO-010</x:v>
      </x:c>
      <x:c r="C44" s="57" t="str">
        <x:v>TAG-NEURO</x:v>
      </x:c>
      <x:c r="D44" s="57" t="str">
        <x:v>OK</x:v>
      </x:c>
    </x:row>
    <x:row r="45" ht="15.75" hidden="0" customHeight="1">
      <x:c r="A45" s="57" t="str">
        <x:v>BLTAG-053</x:v>
      </x:c>
      <x:c r="B45" s="57" t="str">
        <x:v>BLUE-TEST-NEURO-010</x:v>
      </x:c>
      <x:c r="C45" s="57" t="str">
        <x:v>TAG-LLNT</x:v>
      </x:c>
      <x:c r="D45" s="57" t="str">
        <x:v>OK</x:v>
      </x:c>
    </x:row>
    <x:row r="46" ht="15.75" hidden="0" customHeight="1">
      <x:c r="A46" s="57" t="str">
        <x:v>BLTAG-039</x:v>
      </x:c>
      <x:c r="B46" s="57" t="str">
        <x:v>BLUE-TEST-NEURO-011</x:v>
      </x:c>
      <x:c r="C46" s="57" t="str">
        <x:v>TAG-NEURO</x:v>
      </x:c>
      <x:c r="D46" s="57" t="str">
        <x:v>OK</x:v>
      </x:c>
    </x:row>
    <x:row r="47" ht="15.75" hidden="0" customHeight="1">
      <x:c r="A47" s="57" t="str">
        <x:v>BLTAG-054</x:v>
      </x:c>
      <x:c r="B47" s="57" t="str">
        <x:v>BLUE-TEST-NEURO-011</x:v>
      </x:c>
      <x:c r="C47" s="57" t="str">
        <x:v>TAG-LLNT</x:v>
      </x:c>
      <x:c r="D47" s="57" t="str">
        <x:v>OK</x:v>
      </x:c>
    </x:row>
    <x:row r="48" ht="15.75" hidden="0" customHeight="1">
      <x:c r="A48" s="57" t="str">
        <x:v>BLTAG-040</x:v>
      </x:c>
      <x:c r="B48" s="57" t="str">
        <x:v>BLUE-TEST-NEURO-012</x:v>
      </x:c>
      <x:c r="C48" s="57" t="str">
        <x:v>TAG-NEURO</x:v>
      </x:c>
      <x:c r="D48" s="57" t="str">
        <x:v>OK</x:v>
      </x:c>
    </x:row>
    <x:row r="49" ht="15.75" hidden="0" customHeight="1">
      <x:c r="A49" s="57" t="str">
        <x:v>BLTAG-055</x:v>
      </x:c>
      <x:c r="B49" s="57" t="str">
        <x:v>BLUE-TEST-NEURO-012</x:v>
      </x:c>
      <x:c r="C49" s="57" t="str">
        <x:v>TAG-LLNT</x:v>
      </x:c>
      <x:c r="D49" s="57" t="str">
        <x:v>OK</x:v>
      </x:c>
    </x:row>
    <x:row r="50" ht="15.75" hidden="0" customHeight="1">
      <x:c r="A50" s="57" t="str">
        <x:v>BLTAG-041</x:v>
      </x:c>
      <x:c r="B50" s="57" t="str">
        <x:v>BLUE-TEST-NEURO-013</x:v>
      </x:c>
      <x:c r="C50" s="57" t="str">
        <x:v>TAG-NEURO</x:v>
      </x:c>
      <x:c r="D50" s="57" t="str">
        <x:v>OK</x:v>
      </x:c>
    </x:row>
    <x:row r="51" ht="15.75" hidden="0" customHeight="1">
      <x:c r="A51" s="57" t="str">
        <x:v>BLTAG-056</x:v>
      </x:c>
      <x:c r="B51" s="57" t="str">
        <x:v>BLUE-TEST-NEURO-013</x:v>
      </x:c>
      <x:c r="C51" s="57" t="str">
        <x:v>TAG-LLNT</x:v>
      </x:c>
      <x:c r="D51" s="57" t="str">
        <x:v>OK</x:v>
      </x:c>
    </x:row>
    <x:row r="52" ht="15.75" hidden="0" customHeight="1">
      <x:c r="A52" s="57" t="str">
        <x:v>BLTAG-042</x:v>
      </x:c>
      <x:c r="B52" s="57" t="str">
        <x:v>BLUE-TEST-NEURO-014</x:v>
      </x:c>
      <x:c r="C52" s="57" t="str">
        <x:v>TAG-NEURO</x:v>
      </x:c>
      <x:c r="D52" s="57" t="str">
        <x:v>OK</x:v>
      </x:c>
    </x:row>
    <x:row r="53" ht="15.75" hidden="0" customHeight="1">
      <x:c r="A53" s="57" t="str">
        <x:v>BLTAG-057</x:v>
      </x:c>
      <x:c r="B53" s="57" t="str">
        <x:v>BLUE-TEST-NEURO-014</x:v>
      </x:c>
      <x:c r="C53" s="57" t="str">
        <x:v>TAG-LLNT</x:v>
      </x:c>
      <x:c r="D53" s="57" t="str">
        <x:v>OK</x:v>
      </x:c>
    </x:row>
    <x:row r="54" ht="15.75" hidden="0" customHeight="1">
      <x:c r="A54" s="57" t="str">
        <x:v>BLTAG-043</x:v>
      </x:c>
      <x:c r="B54" s="57" t="str">
        <x:v>BLUE-TEST-NEURO-015</x:v>
      </x:c>
      <x:c r="C54" s="57" t="str">
        <x:v>TAG-NEURO</x:v>
      </x:c>
      <x:c r="D54" s="57" t="str">
        <x:v>OK</x:v>
      </x:c>
    </x:row>
    <x:row r="55" ht="15.75" hidden="0" customHeight="1">
      <x:c r="A55" s="57" t="str">
        <x:v>BLTAG-058</x:v>
      </x:c>
      <x:c r="B55" s="57" t="str">
        <x:v>BLUE-TEST-NEURO-015</x:v>
      </x:c>
      <x:c r="C55" s="57" t="str">
        <x:v>TAG-LLNT</x:v>
      </x:c>
      <x:c r="D55" s="57" t="str">
        <x:v>OK</x:v>
      </x:c>
    </x:row>
    <x:row r="56" ht="15.75" hidden="0" customHeight="1">
      <x:c r="A56" s="57" t="str">
        <x:v>BLTAG-044</x:v>
      </x:c>
      <x:c r="B56" s="57" t="str">
        <x:v>BLUE-TEST-NEURO-016</x:v>
      </x:c>
      <x:c r="C56" s="57" t="str">
        <x:v>TAG-NEURO</x:v>
      </x:c>
      <x:c r="D56" s="57" t="str">
        <x:v>OK</x:v>
      </x:c>
    </x:row>
    <x:row r="57" ht="15.75" hidden="0" customHeight="1">
      <x:c r="A57" s="57" t="str">
        <x:v>BLTAG-059</x:v>
      </x:c>
      <x:c r="B57" s="57" t="str">
        <x:v>BLUE-TEST-NEURO-016</x:v>
      </x:c>
      <x:c r="C57" s="57" t="str">
        <x:v>TAG-LLNT</x:v>
      </x:c>
      <x:c r="D57" s="57" t="str">
        <x:v>OK</x:v>
      </x:c>
    </x:row>
    <x:row r="58" ht="15.75" hidden="0" customHeight="1">
      <x:c r="A58" s="57" t="str">
        <x:v>BLTAG-045</x:v>
      </x:c>
      <x:c r="B58" s="57" t="str">
        <x:v>BLUE-TEST-NEURO-017</x:v>
      </x:c>
      <x:c r="C58" s="57" t="str">
        <x:v>TAG-NEURO</x:v>
      </x:c>
      <x:c r="D58" s="57" t="str">
        <x:v>OK</x:v>
      </x:c>
    </x:row>
    <x:row r="59" ht="15.75" hidden="0" customHeight="1">
      <x:c r="A59" s="57" t="str">
        <x:v>BLTAG-060</x:v>
      </x:c>
      <x:c r="B59" s="57" t="str">
        <x:v>BLUE-TEST-NEURO-017</x:v>
      </x:c>
      <x:c r="C59" s="57" t="str">
        <x:v>TAG-LLNT</x:v>
      </x:c>
      <x:c r="D59" s="57" t="str">
        <x:v>OK</x:v>
      </x:c>
    </x:row>
    <x:row r="60" ht="15.75" hidden="0" customHeight="1">
      <x:c r="A60" s="57" t="str">
        <x:v>BLTAG-017</x:v>
      </x:c>
      <x:c r="B60" s="57" t="str">
        <x:v>BLUE-TEST-TX-001</x:v>
      </x:c>
      <x:c r="C60" s="57" t="str">
        <x:v>TAG-TX</x:v>
      </x:c>
      <x:c r="D60" s="57" t="str">
        <x:v>Invalid TagID</x:v>
      </x:c>
    </x:row>
    <x:row r="61" ht="15.75" hidden="0" customHeight="1">
      <x:c r="A61" s="57" t="str">
        <x:v>BLTAG-018</x:v>
      </x:c>
      <x:c r="B61" s="57" t="str">
        <x:v>BLUE-TEST-TX-001</x:v>
      </x:c>
      <x:c r="C61" s="57" t="str">
        <x:v>TAG-SCREEN</x:v>
      </x:c>
      <x:c r="D61" s="57" t="str">
        <x:v>Invalid TagID</x:v>
      </x:c>
    </x:row>
    <x:row r="62" ht="15.75" hidden="0" customHeight="1">
      <x:c r="A62" s="57" t="str">
        <x:v>BLTAG-019</x:v>
      </x:c>
      <x:c r="B62" s="57" t="str">
        <x:v>BLUE-TREAT-CX-002</x:v>
      </x:c>
      <x:c r="C62" s="57" t="str">
        <x:v>TAG-SNAG</x:v>
      </x:c>
      <x:c r="D62" s="57" t="str">
        <x:v>Invalid TagID</x:v>
      </x:c>
    </x:row>
    <x:row r="63" ht="15.75" hidden="0" customHeight="1">
      <x:c r="A63" s="57" t="str">
        <x:v>BLTAG-020</x:v>
      </x:c>
      <x:c r="B63" s="57" t="str">
        <x:v>BLUE-TREAT-CX-002</x:v>
      </x:c>
      <x:c r="C63" s="57" t="str">
        <x:v>TAG-CX</x:v>
      </x:c>
      <x:c r="D63" s="57" t="str">
        <x:v>OK</x:v>
      </x:c>
    </x:row>
    <x:row r="64" ht="15.75" hidden="0" customHeight="1">
      <x:c r="A64" s="57" t="str">
        <x:v>BLTAG-021</x:v>
      </x:c>
      <x:c r="B64" s="57" t="str">
        <x:v>BLUE-TREAT-CX-003</x:v>
      </x:c>
      <x:c r="C64" s="57" t="str">
        <x:v>TAG-SNAG</x:v>
      </x:c>
      <x:c r="D64" s="57" t="str">
        <x:v>Invalid TagID</x:v>
      </x:c>
    </x:row>
    <x:row r="65" ht="15.75" hidden="0" customHeight="1">
      <x:c r="A65" s="57" t="str">
        <x:v>BLTAG-022</x:v>
      </x:c>
      <x:c r="B65" s="57" t="str">
        <x:v>BLUE-TREAT-CX-003</x:v>
      </x:c>
      <x:c r="C65" s="57" t="str">
        <x:v>TAG-HEADACHE</x:v>
      </x:c>
      <x:c r="D65" s="57" t="str">
        <x:v>OK</x:v>
      </x:c>
    </x:row>
    <x:row r="66" ht="15.75" hidden="0" customHeight="1">
      <x:c r="A66" s="57" t="str">
        <x:v>BLTAG-027</x:v>
      </x:c>
      <x:c r="B66" s="57" t="str">
        <x:v>BLUE-TREAT-CX-004</x:v>
      </x:c>
      <x:c r="C66" s="57" t="str">
        <x:v>TAG-TRACTION</x:v>
      </x:c>
      <x:c r="D66" s="57" t="str">
        <x:v>Invalid TagID</x:v>
      </x:c>
    </x:row>
    <x:row r="67" ht="15.75" hidden="0" customHeight="1">
      <x:c r="A67" s="57" t="str">
        <x:v>BLTAG-025</x:v>
      </x:c>
      <x:c r="B67" s="57" t="str">
        <x:v>BLUE-TREAT-HIP-001</x:v>
      </x:c>
      <x:c r="C67" s="57" t="str">
        <x:v>TAG-MWM</x:v>
      </x:c>
      <x:c r="D67" s="57" t="str">
        <x:v>Invalid TagID</x:v>
      </x:c>
    </x:row>
    <x:row r="68" ht="15.75" hidden="0" customHeight="1">
      <x:c r="A68" s="57" t="str">
        <x:v>BLTAG-026</x:v>
      </x:c>
      <x:c r="B68" s="57" t="str">
        <x:v>BLUE-TREAT-HIP-001</x:v>
      </x:c>
      <x:c r="C68" s="57" t="str">
        <x:v>TAG-HIP</x:v>
      </x:c>
      <x:c r="D68" s="57" t="str">
        <x:v>Invalid TagID</x:v>
      </x:c>
    </x:row>
    <x:row r="69" ht="15.75" hidden="0" customHeight="1">
      <x:c r="A69" s="57" t="str">
        <x:v>BLTAG-077</x:v>
      </x:c>
      <x:c r="B69" s="57" t="str">
        <x:v>BLUE-TREAT-NEURO-001</x:v>
      </x:c>
      <x:c r="C69" s="57" t="str">
        <x:v>TAG-NEURO</x:v>
      </x:c>
      <x:c r="D69" s="57" t="str">
        <x:v>OK</x:v>
      </x:c>
    </x:row>
    <x:row r="70" ht="15.75" hidden="0" customHeight="1">
      <x:c r="A70" s="57" t="str">
        <x:v>BLTAG-078</x:v>
      </x:c>
      <x:c r="B70" s="57" t="str">
        <x:v>BLUE-TREAT-NEURO-001</x:v>
      </x:c>
      <x:c r="C70" s="57" t="str">
        <x:v>TAG-OPENER</x:v>
      </x:c>
      <x:c r="D70" s="57" t="str">
        <x:v>OK</x:v>
      </x:c>
    </x:row>
    <x:row r="71" ht="15.75" hidden="0" customHeight="1">
      <x:c r="A71" s="57" t="str">
        <x:v>BLTAG-079</x:v>
      </x:c>
      <x:c r="B71" s="57" t="str">
        <x:v>BLUE-TREAT-NEURO-002</x:v>
      </x:c>
      <x:c r="C71" s="57" t="str">
        <x:v>TAG-NEURO</x:v>
      </x:c>
      <x:c r="D71" s="57" t="str">
        <x:v>OK</x:v>
      </x:c>
    </x:row>
    <x:row r="72" ht="15.75" hidden="0" customHeight="1">
      <x:c r="A72" s="57" t="str">
        <x:v>BLTAG-080</x:v>
      </x:c>
      <x:c r="B72" s="57" t="str">
        <x:v>BLUE-TREAT-NEURO-002</x:v>
      </x:c>
      <x:c r="C72" s="57" t="str">
        <x:v>TAG-CLOSER</x:v>
      </x:c>
      <x:c r="D72" s="57" t="str">
        <x:v>OK</x:v>
      </x:c>
    </x:row>
    <x:row r="73" ht="15.75" hidden="0" customHeight="1">
      <x:c r="A73" s="57" t="str">
        <x:v>BLTAG-069</x:v>
      </x:c>
      <x:c r="B73" s="57" t="str">
        <x:v>BLUE-TREAT-NEURO-003</x:v>
      </x:c>
      <x:c r="C73" s="57" t="str">
        <x:v>TAG-NEURO</x:v>
      </x:c>
      <x:c r="D73" s="57" t="str">
        <x:v>OK</x:v>
      </x:c>
    </x:row>
    <x:row r="74" ht="15.75" hidden="0" customHeight="1">
      <x:c r="A74" s="57" t="str">
        <x:v>BLTAG-070</x:v>
      </x:c>
      <x:c r="B74" s="57" t="str">
        <x:v>BLUE-TREAT-NEURO-003</x:v>
      </x:c>
      <x:c r="C74" s="57" t="str">
        <x:v>TAG-MANUAL-NERVE</x:v>
      </x:c>
      <x:c r="D74" s="57" t="str">
        <x:v>OK</x:v>
      </x:c>
    </x:row>
    <x:row r="75" ht="15.75" hidden="0" customHeight="1">
      <x:c r="A75" s="57" t="str">
        <x:v>BLTAG-083</x:v>
      </x:c>
      <x:c r="B75" s="57" t="str">
        <x:v>BLUE-TREAT-NEURO-003</x:v>
      </x:c>
      <x:c r="C75" s="57" t="str">
        <x:v>TAG-HEADACHE</x:v>
      </x:c>
      <x:c r="D75" s="57" t="str">
        <x:v>OK</x:v>
      </x:c>
    </x:row>
    <x:row r="76" ht="15.75" hidden="0" customHeight="1">
      <x:c r="A76" s="57" t="str">
        <x:v>BLTAG-071</x:v>
      </x:c>
      <x:c r="B76" s="57" t="str">
        <x:v>BLUE-TREAT-NEURO-004</x:v>
      </x:c>
      <x:c r="C76" s="57" t="str">
        <x:v>TAG-NEURO</x:v>
      </x:c>
      <x:c r="D76" s="57" t="str">
        <x:v>OK</x:v>
      </x:c>
    </x:row>
    <x:row r="77" ht="15.75" hidden="0" customHeight="1">
      <x:c r="A77" s="57" t="str">
        <x:v>BLTAG-072</x:v>
      </x:c>
      <x:c r="B77" s="57" t="str">
        <x:v>BLUE-TREAT-NEURO-004</x:v>
      </x:c>
      <x:c r="C77" s="57" t="str">
        <x:v>TAG-MANUAL-NERVE</x:v>
      </x:c>
      <x:c r="D77" s="57" t="str">
        <x:v>OK</x:v>
      </x:c>
    </x:row>
    <x:row r="78" ht="15.75" hidden="0" customHeight="1">
      <x:c r="A78" s="57" t="str">
        <x:v>BLTAG-084</x:v>
      </x:c>
      <x:c r="B78" s="57" t="str">
        <x:v>BLUE-TREAT-NEURO-004</x:v>
      </x:c>
      <x:c r="C78" s="57" t="str">
        <x:v>TAG-HEADACHE</x:v>
      </x:c>
      <x:c r="D78" s="57" t="str">
        <x:v>OK</x:v>
      </x:c>
    </x:row>
    <x:row r="79" ht="15.75" hidden="0" customHeight="1">
      <x:c r="A79" s="57" t="str">
        <x:v>BLTAG-073</x:v>
      </x:c>
      <x:c r="B79" s="57" t="str">
        <x:v>BLUE-TREAT-NEURO-005</x:v>
      </x:c>
      <x:c r="C79" s="57" t="str">
        <x:v>TAG-NEURO</x:v>
      </x:c>
      <x:c r="D79" s="57" t="str">
        <x:v>OK</x:v>
      </x:c>
    </x:row>
    <x:row r="80" ht="15.75" hidden="0" customHeight="1">
      <x:c r="A80" s="57" t="str">
        <x:v>BLTAG-074</x:v>
      </x:c>
      <x:c r="B80" s="57" t="str">
        <x:v>BLUE-TREAT-NEURO-005</x:v>
      </x:c>
      <x:c r="C80" s="57" t="str">
        <x:v>TAG-MANUAL-NERVE</x:v>
      </x:c>
      <x:c r="D80" s="57" t="str">
        <x:v>OK</x:v>
      </x:c>
    </x:row>
    <x:row r="81" ht="15.75" hidden="0" customHeight="1">
      <x:c r="A81" s="57" t="str">
        <x:v>BLTAG-075</x:v>
      </x:c>
      <x:c r="B81" s="57" t="str">
        <x:v>BLUE-TREAT-NEURO-006</x:v>
      </x:c>
      <x:c r="C81" s="57" t="str">
        <x:v>TAG-NEURO</x:v>
      </x:c>
      <x:c r="D81" s="57" t="str">
        <x:v>OK</x:v>
      </x:c>
    </x:row>
    <x:row r="82" ht="15.75" hidden="0" customHeight="1">
      <x:c r="A82" s="57" t="str">
        <x:v>BLTAG-076</x:v>
      </x:c>
      <x:c r="B82" s="57" t="str">
        <x:v>BLUE-TREAT-NEURO-006</x:v>
      </x:c>
      <x:c r="C82" s="57" t="str">
        <x:v>TAG-MANUAL-NERVE</x:v>
      </x:c>
      <x:c r="D82" s="57" t="str">
        <x:v>OK</x:v>
      </x:c>
    </x:row>
    <x:row r="83" ht="15.75" hidden="0" customHeight="1">
      <x:c r="A83" s="57" t="str">
        <x:v>BLTAG-023</x:v>
      </x:c>
      <x:c r="B83" s="57" t="str">
        <x:v>BLUE-TREAT-TX-001</x:v>
      </x:c>
      <x:c r="C83" s="57" t="str">
        <x:v>TAG-SNAG</x:v>
      </x:c>
      <x:c r="D83" s="57" t="str">
        <x:v>Invalid TagID</x:v>
      </x:c>
    </x:row>
    <x:row r="84" ht="15.75" hidden="0" customHeight="1">
      <x:c r="A84" s="57" t="str">
        <x:v>BLTAG-024</x:v>
      </x:c>
      <x:c r="B84" s="57" t="str">
        <x:v>BLUE-TREAT-TX-001</x:v>
      </x:c>
      <x:c r="C84" s="57" t="str">
        <x:v>TAG-TX</x:v>
      </x:c>
      <x:c r="D84" s="57" t="str">
        <x:v>Invalid TagID</x:v>
      </x:c>
    </x:row>
    <x:row r="85" ht="15.75" hidden="0" customHeight="1">
      <x:c r="A85" s="57" t="str">
        <x:v>BLTAG-028</x:v>
      </x:c>
      <x:c r="B85" s="57" t="str">
        <x:v>BLUE-TREAT-TX-002</x:v>
      </x:c>
      <x:c r="C85" s="57" t="str">
        <x:v>TAG-TRACTION</x:v>
      </x:c>
      <x:c r="D85" s="57" t="str">
        <x:v>Invalid TagID</x:v>
      </x:c>
    </x:row>
  </x:sheetData>
  <x:pageMargins left="0.7" right="0.7" top="0.75" bottom="0.75" header="0.3" footer="0.3"/>
  <x:tableParts count="1">
    <x:tablePart xmlns:r="http://schemas.openxmlformats.org/officeDocument/2006/relationships" r:id="R8e809f078391468e"/>
  </x:tableParts>
</x:worksheet>
</file>

<file path=xl/worksheets/sheet22.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5.630000114440918" hidden="0" customWidth="1"/>
    <x:col min="5" max="5" width="14.380000114440918" hidden="0" customWidth="1"/>
    <x:col min="2" max="2" width="12.25" hidden="0" customWidth="1"/>
    <x:col min="3" max="3" width="13.25" hidden="0" customWidth="1"/>
    <x:col min="4" max="4" width="14.880000114440918" hidden="0" customWidth="1"/>
    <x:col min="6" max="6" width="24.8799991607666" hidden="0" customWidth="1"/>
    <x:col min="7" max="7" width="13" hidden="0" customWidth="1"/>
    <x:col min="8" max="8" width="12.5" hidden="0" customWidth="1"/>
    <x:col min="9" max="9" width="17.6299991607666" hidden="0" customWidth="1"/>
    <x:col min="10" max="10" width="12" hidden="0" customWidth="1"/>
    <x:col min="11" max="11" width="12" hidden="0" customWidth="1"/>
    <x:col min="12" max="12" width="12" hidden="0" customWidth="1"/>
    <x:col min="13" max="13" width="12" hidden="0" customWidth="1"/>
    <x:col min="14" max="14" width="12" hidden="0" customWidth="1"/>
    <x:col min="15" max="15" width="20.8799991607666" hidden="0" customWidth="1"/>
  </x:cols>
  <x:sheetData>
    <x:row r="1" ht="15.75" hidden="0" customHeight="1">
      <x:c r="A1" s="58" t="str">
        <x:v>BlueprintItemID</x:v>
      </x:c>
      <x:c r="B1" s="58" t="str">
        <x:v>BlueprintID</x:v>
      </x:c>
      <x:c r="C1" s="58" t="str">
        <x:v>TemplateFieldID</x:v>
      </x:c>
      <x:c r="D1" s="58" t="str">
        <x:v>FieldName</x:v>
      </x:c>
      <x:c r="E1" s="58" t="str">
        <x:v>ItemID</x:v>
      </x:c>
      <x:c r="F1" s="58" t="str">
        <x:v>ItemName</x:v>
      </x:c>
      <x:c r="G1" s="58" t="str">
        <x:v>Item Type</x:v>
      </x:c>
      <x:c r="H1" s="58" t="str">
        <x:v>ItemRole</x:v>
      </x:c>
      <x:c r="I1" s="58" t="str">
        <x:v>MethodStepID</x:v>
      </x:c>
      <x:c r="J1" s="58" t="str">
        <x:v>SortOrder</x:v>
      </x:c>
      <x:c r="K1" s="58" t="str">
        <x:v>Required</x:v>
      </x:c>
      <x:c r="L1" s="58" t="str">
        <x:v>DisplayInline</x:v>
      </x:c>
      <x:c r="M1" s="58" t="str">
        <x:v>Quantity</x:v>
      </x:c>
      <x:c r="N1" s="58" t="str">
        <x:v>Notes</x:v>
      </x:c>
      <x:c r="O1" s="58" t="str">
        <x:v>Validation Status</x:v>
      </x:c>
    </x:row>
    <x:row r="2" ht="15.75" hidden="0" customHeight="1">
      <x:c r="A2" s="57" t="str">
        <x:v>BLUE-BUS-009-001</x:v>
      </x:c>
      <x:c r="B2" s="57" t="str">
        <x:v>BLUE-BUS-009</x:v>
      </x:c>
      <x:c r="C2" s="57"/>
      <x:c r="D2" s="57" t="str">
        <x:v>Equipment Needed</x:v>
      </x:c>
      <x:c r="E2" s="57"/>
      <x:c r="F2" s="57" t="str">
        <x:v>Camera</x:v>
      </x:c>
      <x:c r="G2" s="57" t="str">
        <x:v>Physical Product</x:v>
      </x:c>
      <x:c r="H2" s="57" t="str">
        <x:v>Equipment</x:v>
      </x:c>
      <x:c r="I2" s="57"/>
      <x:c r="J2" s="57" t="n">
        <x:v>1</x:v>
      </x:c>
      <x:c r="K2" s="57" t="str">
        <x:v>No</x:v>
      </x:c>
      <x:c r="L2" s="57" t="str">
        <x:v>No</x:v>
      </x:c>
      <x:c r="M2" s="57" t="n">
        <x:v>1</x:v>
      </x:c>
      <x:c r="N2" s="57"/>
      <x:c r="O2" s="57" t="str">
        <x:v>Unresolved name-only item</x:v>
      </x:c>
    </x:row>
    <x:row r="3" ht="15.75" hidden="0" customHeight="1">
      <x:c r="A3" s="57" t="str">
        <x:v>BLUE-BUS-009-002</x:v>
      </x:c>
      <x:c r="B3" s="57" t="str">
        <x:v>BLUE-BUS-009</x:v>
      </x:c>
      <x:c r="C3" s="57"/>
      <x:c r="D3" s="57" t="str">
        <x:v>Equipment Needed</x:v>
      </x:c>
      <x:c r="E3" s="57"/>
      <x:c r="F3" s="57" t="str">
        <x:v>Phone</x:v>
      </x:c>
      <x:c r="G3" s="57" t="str">
        <x:v>Physical Product</x:v>
      </x:c>
      <x:c r="H3" s="57" t="str">
        <x:v>Equipment</x:v>
      </x:c>
      <x:c r="I3" s="57"/>
      <x:c r="J3" s="57" t="n">
        <x:v>2</x:v>
      </x:c>
      <x:c r="K3" s="57" t="str">
        <x:v>Yes</x:v>
      </x:c>
      <x:c r="L3" s="57" t="str">
        <x:v>No</x:v>
      </x:c>
      <x:c r="M3" s="57" t="n">
        <x:v>1</x:v>
      </x:c>
      <x:c r="N3" s="57"/>
      <x:c r="O3" s="57" t="str">
        <x:v>Unresolved name-only item</x:v>
      </x:c>
    </x:row>
    <x:row r="4" ht="15.75" hidden="0" customHeight="1">
      <x:c r="A4" s="57" t="str">
        <x:v>BLUE-BUS-009-003</x:v>
      </x:c>
      <x:c r="B4" s="57" t="str">
        <x:v>BLUE-BUS-009</x:v>
      </x:c>
      <x:c r="C4" s="57"/>
      <x:c r="D4" s="57" t="str">
        <x:v>Equipment Needed</x:v>
      </x:c>
      <x:c r="E4" s="57"/>
      <x:c r="F4" s="57" t="str">
        <x:v>Tripod</x:v>
      </x:c>
      <x:c r="G4" s="57" t="str">
        <x:v>Physical Product</x:v>
      </x:c>
      <x:c r="H4" s="57" t="str">
        <x:v>Equipment</x:v>
      </x:c>
      <x:c r="I4" s="57"/>
      <x:c r="J4" s="57" t="n">
        <x:v>3</x:v>
      </x:c>
      <x:c r="K4" s="57" t="str">
        <x:v>No</x:v>
      </x:c>
      <x:c r="L4" s="57" t="str">
        <x:v>No</x:v>
      </x:c>
      <x:c r="M4" s="57" t="n">
        <x:v>1</x:v>
      </x:c>
      <x:c r="N4" s="57"/>
      <x:c r="O4" s="57" t="str">
        <x:v>Unresolved name-only item</x:v>
      </x:c>
    </x:row>
    <x:row r="5" ht="15.75" hidden="0" customHeight="1">
      <x:c r="A5" s="57" t="str">
        <x:v>BLUE-BUS-009-004</x:v>
      </x:c>
      <x:c r="B5" s="57" t="str">
        <x:v>BLUE-BUS-009</x:v>
      </x:c>
      <x:c r="C5" s="57"/>
      <x:c r="D5" s="57" t="str">
        <x:v>Equipment Needed</x:v>
      </x:c>
      <x:c r="E5" s="57"/>
      <x:c r="F5" s="57" t="str">
        <x:v>Lighting</x:v>
      </x:c>
      <x:c r="G5" s="57" t="str">
        <x:v>Physical Product</x:v>
      </x:c>
      <x:c r="H5" s="57" t="str">
        <x:v>Equipment</x:v>
      </x:c>
      <x:c r="I5" s="57"/>
      <x:c r="J5" s="57" t="n">
        <x:v>4</x:v>
      </x:c>
      <x:c r="K5" s="57" t="str">
        <x:v>No</x:v>
      </x:c>
      <x:c r="L5" s="57" t="str">
        <x:v>No</x:v>
      </x:c>
      <x:c r="M5" s="57" t="n">
        <x:v>1</x:v>
      </x:c>
      <x:c r="N5" s="57"/>
      <x:c r="O5" s="57" t="str">
        <x:v>Unresolved name-only item</x:v>
      </x:c>
    </x:row>
    <x:row r="6" ht="15.75" hidden="0" customHeight="1">
      <x:c r="A6" s="57" t="str">
        <x:v>BLUE-BUS-009-005</x:v>
      </x:c>
      <x:c r="B6" s="57" t="str">
        <x:v>BLUE-BUS-009</x:v>
      </x:c>
      <x:c r="C6" s="57"/>
      <x:c r="D6" s="57" t="str">
        <x:v>Equipment Needed</x:v>
      </x:c>
      <x:c r="E6" s="57"/>
      <x:c r="F6" s="57" t="str">
        <x:v>Reflector</x:v>
      </x:c>
      <x:c r="G6" s="57" t="str">
        <x:v>Physical Product</x:v>
      </x:c>
      <x:c r="H6" s="57" t="str">
        <x:v>Equipment</x:v>
      </x:c>
      <x:c r="I6" s="57"/>
      <x:c r="J6" s="57" t="n">
        <x:v>5</x:v>
      </x:c>
      <x:c r="K6" s="57" t="str">
        <x:v>No</x:v>
      </x:c>
      <x:c r="L6" s="57" t="str">
        <x:v>No</x:v>
      </x:c>
      <x:c r="M6" s="57" t="n">
        <x:v>1</x:v>
      </x:c>
      <x:c r="N6" s="57"/>
      <x:c r="O6" s="57" t="str">
        <x:v>Unresolved name-only item</x:v>
      </x:c>
    </x:row>
    <x:row r="7" ht="15.75" hidden="0" customHeight="1">
      <x:c r="A7" s="57" t="str">
        <x:v>BLUE-BUS-009-006</x:v>
      </x:c>
      <x:c r="B7" s="57" t="str">
        <x:v>BLUE-BUS-009</x:v>
      </x:c>
      <x:c r="C7" s="57"/>
      <x:c r="D7" s="57" t="str">
        <x:v>Equipment Needed</x:v>
      </x:c>
      <x:c r="E7" s="57"/>
      <x:c r="F7" s="57" t="str">
        <x:v>Background</x:v>
      </x:c>
      <x:c r="G7" s="57" t="str">
        <x:v>Physical Product</x:v>
      </x:c>
      <x:c r="H7" s="57" t="str">
        <x:v>Equipment</x:v>
      </x:c>
      <x:c r="I7" s="57"/>
      <x:c r="J7" s="57" t="n">
        <x:v>6</x:v>
      </x:c>
      <x:c r="K7" s="57" t="str">
        <x:v>No</x:v>
      </x:c>
      <x:c r="L7" s="57" t="str">
        <x:v>No</x:v>
      </x:c>
      <x:c r="M7" s="57" t="n">
        <x:v>1</x:v>
      </x:c>
      <x:c r="N7" s="57"/>
      <x:c r="O7" s="57" t="str">
        <x:v>Unresolved name-only item</x:v>
      </x:c>
    </x:row>
    <x:row r="8" ht="15.75" hidden="0" customHeight="1">
      <x:c r="A8" s="57" t="str">
        <x:v>BLUE-BUS-009-007</x:v>
      </x:c>
      <x:c r="B8" s="57" t="str">
        <x:v>BLUE-BUS-009</x:v>
      </x:c>
      <x:c r="C8" s="57"/>
      <x:c r="D8" s="57" t="str">
        <x:v>Product Used</x:v>
      </x:c>
      <x:c r="E8" s="57"/>
      <x:c r="F8" s="57" t="str">
        <x:v>Products</x:v>
      </x:c>
      <x:c r="G8" s="57" t="str">
        <x:v>Physical Product</x:v>
      </x:c>
      <x:c r="H8" s="57" t="str">
        <x:v>Related Product</x:v>
      </x:c>
      <x:c r="I8" s="57"/>
      <x:c r="J8" s="57" t="n">
        <x:v>7</x:v>
      </x:c>
      <x:c r="K8" s="57" t="str">
        <x:v>No</x:v>
      </x:c>
      <x:c r="L8" s="57" t="str">
        <x:v>No</x:v>
      </x:c>
      <x:c r="M8" s="57" t="n">
        <x:v>1</x:v>
      </x:c>
      <x:c r="N8" s="57"/>
      <x:c r="O8" s="57" t="str">
        <x:v>Unresolved name-only item</x:v>
      </x:c>
    </x:row>
    <x:row r="9" ht="15.75" hidden="0" customHeight="1">
      <x:c r="A9" s="57" t="str">
        <x:v>BLUE-BUS-009-008</x:v>
      </x:c>
      <x:c r="B9" s="57" t="str">
        <x:v>BLUE-BUS-009</x:v>
      </x:c>
      <x:c r="C9" s="57"/>
      <x:c r="D9" s="57" t="str">
        <x:v>Equipment Needed</x:v>
      </x:c>
      <x:c r="E9" s="57"/>
      <x:c r="F9" s="57" t="str">
        <x:v>Exercise Equipment</x:v>
      </x:c>
      <x:c r="G9" s="57" t="str">
        <x:v>Physical Product</x:v>
      </x:c>
      <x:c r="H9" s="57" t="str">
        <x:v>Equipment</x:v>
      </x:c>
      <x:c r="I9" s="57"/>
      <x:c r="J9" s="57" t="n">
        <x:v>8</x:v>
      </x:c>
      <x:c r="K9" s="57" t="str">
        <x:v>No</x:v>
      </x:c>
      <x:c r="L9" s="57" t="str">
        <x:v>No</x:v>
      </x:c>
      <x:c r="M9" s="57" t="n">
        <x:v>1</x:v>
      </x:c>
      <x:c r="N9" s="57"/>
      <x:c r="O9" s="57" t="str">
        <x:v>Unresolved name-only item</x:v>
      </x:c>
    </x:row>
    <x:row r="10" ht="15.75" hidden="0" customHeight="1">
      <x:c r="A10" s="57" t="str">
        <x:v>BLUE-BUS-009-009</x:v>
      </x:c>
      <x:c r="B10" s="57" t="str">
        <x:v>BLUE-BUS-009</x:v>
      </x:c>
      <x:c r="C10" s="57"/>
      <x:c r="D10" s="57" t="str">
        <x:v>Equipment Needed</x:v>
      </x:c>
      <x:c r="E10" s="57"/>
      <x:c r="F10" s="57" t="str">
        <x:v>Computer</x:v>
      </x:c>
      <x:c r="G10" s="57" t="str">
        <x:v>Physical Product</x:v>
      </x:c>
      <x:c r="H10" s="57" t="str">
        <x:v>Equipment</x:v>
      </x:c>
      <x:c r="I10" s="57"/>
      <x:c r="J10" s="57" t="n">
        <x:v>9</x:v>
      </x:c>
      <x:c r="K10" s="57" t="str">
        <x:v>Yes</x:v>
      </x:c>
      <x:c r="L10" s="57" t="str">
        <x:v>No</x:v>
      </x:c>
      <x:c r="M10" s="57" t="n">
        <x:v>1</x:v>
      </x:c>
      <x:c r="N10" s="57"/>
      <x:c r="O10" s="57" t="str">
        <x:v>Unresolved name-only item</x:v>
      </x:c>
    </x:row>
    <x:row r="11" ht="15.75" hidden="0" customHeight="1">
      <x:c r="A11" s="57" t="str">
        <x:v>BLUE-BUS-009-010</x:v>
      </x:c>
      <x:c r="B11" s="57" t="str">
        <x:v>BLUE-BUS-009</x:v>
      </x:c>
      <x:c r="C11" s="57"/>
      <x:c r="D11" s="57" t="str">
        <x:v>Equipment Needed</x:v>
      </x:c>
      <x:c r="E11" s="57"/>
      <x:c r="F11" s="57" t="str">
        <x:v>Canva</x:v>
      </x:c>
      <x:c r="G11" s="57" t="str">
        <x:v>Digital Product</x:v>
      </x:c>
      <x:c r="H11" s="57" t="str">
        <x:v>Software</x:v>
      </x:c>
      <x:c r="I11" s="57"/>
      <x:c r="J11" s="57" t="n">
        <x:v>10</x:v>
      </x:c>
      <x:c r="K11" s="57" t="str">
        <x:v>Yes</x:v>
      </x:c>
      <x:c r="L11" s="57" t="str">
        <x:v>No</x:v>
      </x:c>
      <x:c r="M11" s="57" t="n">
        <x:v>1</x:v>
      </x:c>
      <x:c r="N11" s="57"/>
      <x:c r="O11" s="57" t="str">
        <x:v>Unresolved name-only item</x:v>
      </x:c>
    </x:row>
    <x:row r="12" ht="15.75" hidden="0" customHeight="1">
      <x:c r="A12" s="57" t="str">
        <x:v>BLUE-BUS-009-011</x:v>
      </x:c>
      <x:c r="B12" s="57" t="str">
        <x:v>BLUE-BUS-009</x:v>
      </x:c>
      <x:c r="C12" s="57"/>
      <x:c r="D12" s="57" t="str">
        <x:v>Equipment Needed</x:v>
      </x:c>
      <x:c r="E12" s="57"/>
      <x:c r="F12" s="57" t="str">
        <x:v>Firebase Storage</x:v>
      </x:c>
      <x:c r="G12" s="57" t="str">
        <x:v>Digital Product</x:v>
      </x:c>
      <x:c r="H12" s="57" t="str">
        <x:v>Software</x:v>
      </x:c>
      <x:c r="I12" s="57"/>
      <x:c r="J12" s="57" t="n">
        <x:v>11</x:v>
      </x:c>
      <x:c r="K12" s="57" t="str">
        <x:v>Yes</x:v>
      </x:c>
      <x:c r="L12" s="57" t="str">
        <x:v>No</x:v>
      </x:c>
      <x:c r="M12" s="57" t="n">
        <x:v>1</x:v>
      </x:c>
      <x:c r="N12" s="57"/>
      <x:c r="O12" s="57" t="str">
        <x:v>Unresolved name-only item</x:v>
      </x:c>
    </x:row>
    <x:row r="13" ht="15.75" hidden="0" customHeight="1">
      <x:c r="A13" s="57" t="str">
        <x:v>BLUE-BUS-009-012</x:v>
      </x:c>
      <x:c r="B13" s="57" t="str">
        <x:v>BLUE-BUS-009</x:v>
      </x:c>
      <x:c r="C13" s="57"/>
      <x:c r="D13" s="57" t="str">
        <x:v>Resource</x:v>
      </x:c>
      <x:c r="E13" s="57" t="str">
        <x:v>ITEM-PHOTO-001</x:v>
      </x:c>
      <x:c r="F13" s="57" t="str">
        <x:v>Product Photography Standards</x:v>
      </x:c>
      <x:c r="G13" s="57" t="str">
        <x:v>Digital Product</x:v>
      </x:c>
      <x:c r="H13" s="57" t="str">
        <x:v>Standard</x:v>
      </x:c>
      <x:c r="I13" s="57" t="str">
        <x:v>METHOD-PHOTO-001</x:v>
      </x:c>
      <x:c r="J13" s="57" t="n">
        <x:v>12</x:v>
      </x:c>
      <x:c r="K13" s="57" t="str">
        <x:v>Yes</x:v>
      </x:c>
      <x:c r="L13" s="57" t="str">
        <x:v>Yes</x:v>
      </x:c>
      <x:c r="M13" s="57" t="n">
        <x:v>1</x:v>
      </x:c>
      <x:c r="N13" s="57"/>
      <x:c r="O13" s="57" t="str">
        <x:v>OK</x:v>
      </x:c>
    </x:row>
    <x:row r="14" ht="15.75" hidden="0" customHeight="1">
      <x:c r="A14" s="57" t="str">
        <x:v>BLUE-BUS-009-013</x:v>
      </x:c>
      <x:c r="B14" s="57" t="str">
        <x:v>BLUE-BUS-009</x:v>
      </x:c>
      <x:c r="C14" s="57"/>
      <x:c r="D14" s="57" t="str">
        <x:v>Resource</x:v>
      </x:c>
      <x:c r="E14" s="57" t="str">
        <x:v>ITEM-PHOTO-002</x:v>
      </x:c>
      <x:c r="F14" s="57" t="str">
        <x:v>Exercise Photography Standards</x:v>
      </x:c>
      <x:c r="G14" s="57" t="str">
        <x:v>Digital Product</x:v>
      </x:c>
      <x:c r="H14" s="57" t="str">
        <x:v>Standard</x:v>
      </x:c>
      <x:c r="I14" s="57" t="str">
        <x:v>METHOD-PHOTO-001</x:v>
      </x:c>
      <x:c r="J14" s="57" t="n">
        <x:v>13</x:v>
      </x:c>
      <x:c r="K14" s="57" t="str">
        <x:v>Yes</x:v>
      </x:c>
      <x:c r="L14" s="57" t="str">
        <x:v>Yes</x:v>
      </x:c>
      <x:c r="M14" s="57" t="n">
        <x:v>1</x:v>
      </x:c>
      <x:c r="N14" s="57"/>
      <x:c r="O14" s="57" t="str">
        <x:v>OK</x:v>
      </x:c>
    </x:row>
    <x:row r="15" ht="15.75" hidden="0" customHeight="1">
      <x:c r="A15" s="57" t="str">
        <x:v>BLUE-BUS-009-014</x:v>
      </x:c>
      <x:c r="B15" s="57" t="str">
        <x:v>BLUE-BUS-009</x:v>
      </x:c>
      <x:c r="C15" s="57"/>
      <x:c r="D15" s="57" t="str">
        <x:v>Resource</x:v>
      </x:c>
      <x:c r="E15" s="57" t="str">
        <x:v>ITEM-PHOTO-003</x:v>
      </x:c>
      <x:c r="F15" s="57" t="str">
        <x:v>Lifestyle Photography Standards</x:v>
      </x:c>
      <x:c r="G15" s="57" t="str">
        <x:v>Digital Product</x:v>
      </x:c>
      <x:c r="H15" s="57" t="str">
        <x:v>Standard</x:v>
      </x:c>
      <x:c r="I15" s="57" t="str">
        <x:v>METHOD-PHOTO-001</x:v>
      </x:c>
      <x:c r="J15" s="57" t="n">
        <x:v>14</x:v>
      </x:c>
      <x:c r="K15" s="57" t="str">
        <x:v>Yes</x:v>
      </x:c>
      <x:c r="L15" s="57" t="str">
        <x:v>Yes</x:v>
      </x:c>
      <x:c r="M15" s="57" t="n">
        <x:v>1</x:v>
      </x:c>
      <x:c r="N15" s="57"/>
      <x:c r="O15" s="57" t="str">
        <x:v>OK</x:v>
      </x:c>
    </x:row>
    <x:row r="16" ht="15.75" hidden="0" customHeight="1">
      <x:c r="A16" s="57" t="str">
        <x:v>BLUE-BUS-009-015</x:v>
      </x:c>
      <x:c r="B16" s="57" t="str">
        <x:v>BLUE-BUS-009</x:v>
      </x:c>
      <x:c r="C16" s="57"/>
      <x:c r="D16" s="57" t="str">
        <x:v>Resource</x:v>
      </x:c>
      <x:c r="E16" s="57" t="str">
        <x:v>ITEM-PHOTO-004</x:v>
      </x:c>
      <x:c r="F16" s="57" t="str">
        <x:v>Lighting Guide</x:v>
      </x:c>
      <x:c r="G16" s="57" t="str">
        <x:v>Digital Product</x:v>
      </x:c>
      <x:c r="H16" s="57" t="str">
        <x:v>Standard</x:v>
      </x:c>
      <x:c r="I16" s="57" t="str">
        <x:v>METHOD-PHOTO-002</x:v>
      </x:c>
      <x:c r="J16" s="57" t="n">
        <x:v>15</x:v>
      </x:c>
      <x:c r="K16" s="57" t="str">
        <x:v>Yes</x:v>
      </x:c>
      <x:c r="L16" s="57" t="str">
        <x:v>Yes</x:v>
      </x:c>
      <x:c r="M16" s="57" t="n">
        <x:v>1</x:v>
      </x:c>
      <x:c r="N16" s="57"/>
      <x:c r="O16" s="57" t="str">
        <x:v>OK</x:v>
      </x:c>
    </x:row>
    <x:row r="17" ht="15.75" hidden="0" customHeight="1">
      <x:c r="A17" s="57" t="str">
        <x:v>BLUE-BUS-009-016</x:v>
      </x:c>
      <x:c r="B17" s="57" t="str">
        <x:v>BLUE-BUS-009</x:v>
      </x:c>
      <x:c r="C17" s="57"/>
      <x:c r="D17" s="57" t="str">
        <x:v>Resource</x:v>
      </x:c>
      <x:c r="E17" s="57" t="str">
        <x:v>ITEM-PHOTO-005</x:v>
      </x:c>
      <x:c r="F17" s="57" t="str">
        <x:v>Background Guide</x:v>
      </x:c>
      <x:c r="G17" s="57" t="str">
        <x:v>Digital Product</x:v>
      </x:c>
      <x:c r="H17" s="57" t="str">
        <x:v>Standard</x:v>
      </x:c>
      <x:c r="I17" s="57" t="str">
        <x:v>METHOD-PHOTO-002</x:v>
      </x:c>
      <x:c r="J17" s="57" t="n">
        <x:v>16</x:v>
      </x:c>
      <x:c r="K17" s="57" t="str">
        <x:v>Yes</x:v>
      </x:c>
      <x:c r="L17" s="57" t="str">
        <x:v>Yes</x:v>
      </x:c>
      <x:c r="M17" s="57" t="n">
        <x:v>1</x:v>
      </x:c>
      <x:c r="N17" s="57"/>
      <x:c r="O17" s="57" t="str">
        <x:v>OK</x:v>
      </x:c>
    </x:row>
    <x:row r="18" ht="15.75" hidden="0" customHeight="1">
      <x:c r="A18" s="57" t="str">
        <x:v>BLUE-BUS-009-017</x:v>
      </x:c>
      <x:c r="B18" s="57" t="str">
        <x:v>BLUE-BUS-009</x:v>
      </x:c>
      <x:c r="C18" s="57"/>
      <x:c r="D18" s="57" t="str">
        <x:v>Resource</x:v>
      </x:c>
      <x:c r="E18" s="57" t="str">
        <x:v>ITEM-PHOTO-006</x:v>
      </x:c>
      <x:c r="F18" s="57" t="str">
        <x:v>Camera &amp; Framing Guide</x:v>
      </x:c>
      <x:c r="G18" s="57" t="str">
        <x:v>Digital Product</x:v>
      </x:c>
      <x:c r="H18" s="57" t="str">
        <x:v>Standard</x:v>
      </x:c>
      <x:c r="I18" s="57" t="str">
        <x:v>METHOD-PHOTO-003</x:v>
      </x:c>
      <x:c r="J18" s="57" t="n">
        <x:v>17</x:v>
      </x:c>
      <x:c r="K18" s="57" t="str">
        <x:v>Yes</x:v>
      </x:c>
      <x:c r="L18" s="57" t="str">
        <x:v>Yes</x:v>
      </x:c>
      <x:c r="M18" s="57" t="n">
        <x:v>1</x:v>
      </x:c>
      <x:c r="N18" s="57"/>
      <x:c r="O18" s="57" t="str">
        <x:v>OK</x:v>
      </x:c>
    </x:row>
    <x:row r="19" ht="15.75" hidden="0" customHeight="1">
      <x:c r="A19" s="57" t="str">
        <x:v>BLUE-BUS-009-018</x:v>
      </x:c>
      <x:c r="B19" s="57" t="str">
        <x:v>BLUE-BUS-009</x:v>
      </x:c>
      <x:c r="C19" s="57"/>
      <x:c r="D19" s="57" t="str">
        <x:v>Resource</x:v>
      </x:c>
      <x:c r="E19" s="57" t="str">
        <x:v>ITEM-PHOTO-007</x:v>
      </x:c>
      <x:c r="F19" s="57" t="str">
        <x:v>Editing Guide</x:v>
      </x:c>
      <x:c r="G19" s="57" t="str">
        <x:v>Digital Product</x:v>
      </x:c>
      <x:c r="H19" s="57" t="str">
        <x:v>Standard</x:v>
      </x:c>
      <x:c r="I19" s="57" t="str">
        <x:v>METHOD-PHOTO-004</x:v>
      </x:c>
      <x:c r="J19" s="57" t="n">
        <x:v>18</x:v>
      </x:c>
      <x:c r="K19" s="57" t="str">
        <x:v>Yes</x:v>
      </x:c>
      <x:c r="L19" s="57" t="str">
        <x:v>Yes</x:v>
      </x:c>
      <x:c r="M19" s="57" t="n">
        <x:v>1</x:v>
      </x:c>
      <x:c r="N19" s="57"/>
      <x:c r="O19" s="57" t="str">
        <x:v>OK</x:v>
      </x:c>
    </x:row>
    <x:row r="20" ht="15.75" hidden="0" customHeight="1">
      <x:c r="A20" s="57" t="str">
        <x:v>BLUE-BUS-009-019</x:v>
      </x:c>
      <x:c r="B20" s="57" t="str">
        <x:v>BLUE-BUS-009</x:v>
      </x:c>
      <x:c r="C20" s="57"/>
      <x:c r="D20" s="57" t="str">
        <x:v>Resource</x:v>
      </x:c>
      <x:c r="E20" s="57" t="str">
        <x:v>ITEM-PHOTO-008</x:v>
      </x:c>
      <x:c r="F20" s="57" t="str">
        <x:v>Export Standards</x:v>
      </x:c>
      <x:c r="G20" s="57" t="str">
        <x:v>Digital Product</x:v>
      </x:c>
      <x:c r="H20" s="57" t="str">
        <x:v>Standard</x:v>
      </x:c>
      <x:c r="I20" s="57" t="str">
        <x:v>METHOD-PHOTO-004</x:v>
      </x:c>
      <x:c r="J20" s="57" t="n">
        <x:v>19</x:v>
      </x:c>
      <x:c r="K20" s="57" t="str">
        <x:v>Yes</x:v>
      </x:c>
      <x:c r="L20" s="57" t="str">
        <x:v>Yes</x:v>
      </x:c>
      <x:c r="M20" s="57" t="n">
        <x:v>1</x:v>
      </x:c>
      <x:c r="N20" s="57"/>
      <x:c r="O20" s="57" t="str">
        <x:v>OK</x:v>
      </x:c>
    </x:row>
    <x:row r="21" ht="15.75" hidden="0" customHeight="1">
      <x:c r="A21" s="57" t="str">
        <x:v>BLUE-BUS-009-020</x:v>
      </x:c>
      <x:c r="B21" s="57" t="str">
        <x:v>BLUE-BUS-009</x:v>
      </x:c>
      <x:c r="C21" s="57"/>
      <x:c r="D21" s="57" t="str">
        <x:v>Resource</x:v>
      </x:c>
      <x:c r="E21" s="57" t="str">
        <x:v>ITEM-PHOTO-009</x:v>
      </x:c>
      <x:c r="F21" s="57" t="str">
        <x:v>File Naming Guide</x:v>
      </x:c>
      <x:c r="G21" s="57" t="str">
        <x:v>Digital Product</x:v>
      </x:c>
      <x:c r="H21" s="57" t="str">
        <x:v>Standard</x:v>
      </x:c>
      <x:c r="I21" s="57" t="str">
        <x:v>METHOD-PHOTO-005</x:v>
      </x:c>
      <x:c r="J21" s="57" t="n">
        <x:v>20</x:v>
      </x:c>
      <x:c r="K21" s="57" t="str">
        <x:v>Yes</x:v>
      </x:c>
      <x:c r="L21" s="57" t="str">
        <x:v>Yes</x:v>
      </x:c>
      <x:c r="M21" s="57" t="n">
        <x:v>1</x:v>
      </x:c>
      <x:c r="N21" s="57"/>
      <x:c r="O21" s="57" t="str">
        <x:v>OK</x:v>
      </x:c>
    </x:row>
    <x:row r="22" ht="15.75" hidden="0" customHeight="1">
      <x:c r="A22" s="57" t="str">
        <x:v>BLUE-BUS-009-021</x:v>
      </x:c>
      <x:c r="B22" s="57" t="str">
        <x:v>BLUE-BUS-009</x:v>
      </x:c>
      <x:c r="C22" s="57"/>
      <x:c r="D22" s="57" t="str">
        <x:v>Resource</x:v>
      </x:c>
      <x:c r="E22" s="57" t="str">
        <x:v>ITEM-PHOTO-010</x:v>
      </x:c>
      <x:c r="F22" s="57" t="str">
        <x:v>Alt Text Guide</x:v>
      </x:c>
      <x:c r="G22" s="57" t="str">
        <x:v>Digital Product</x:v>
      </x:c>
      <x:c r="H22" s="57" t="str">
        <x:v>Standard</x:v>
      </x:c>
      <x:c r="I22" s="57" t="str">
        <x:v>METHOD-PHOTO-006</x:v>
      </x:c>
      <x:c r="J22" s="57" t="n">
        <x:v>21</x:v>
      </x:c>
      <x:c r="K22" s="57" t="str">
        <x:v>Yes</x:v>
      </x:c>
      <x:c r="L22" s="57" t="str">
        <x:v>Yes</x:v>
      </x:c>
      <x:c r="M22" s="57" t="n">
        <x:v>1</x:v>
      </x:c>
      <x:c r="N22" s="57"/>
      <x:c r="O22" s="57" t="str">
        <x:v>OK</x:v>
      </x:c>
    </x:row>
    <x:row r="23"/>
    <x:row r="24" ht="15.75" hidden="0" customHeight="1">
      <x:c r="B24"/>
      <x:c r="C24"/>
      <x:c r="D24"/>
      <x:c r="E24"/>
    </x:row>
  </x:sheetData>
  <x:pageMargins left="0.7" right="0.7" top="0.75" bottom="0.75" header="0.3" footer="0.3"/>
  <x:tableParts count="1">
    <x:tablePart xmlns:r="http://schemas.openxmlformats.org/officeDocument/2006/relationships" r:id="Re6609da9ff6d46da"/>
  </x:tableParts>
</x:worksheet>
</file>

<file path=xl/worksheets/sheet23.xml><?xml version="1.0" encoding="utf-8"?>
<x:worksheet xmlns:x="http://schemas.openxmlformats.org/spreadsheetml/2006/main">
  <x:sheetPr>
    <x:tabColor rgb="FFC1E4F5"/>
  </x:sheetPr>
  <x:sheetFormatPr defaultColWidth="12.630000114440918" defaultRowHeight="15.75"/>
  <x:sheetData>
    <x:row r="1">
      <x:c r="A1" s="5" t="s">
        <x:v>954</x:v>
      </x:c>
      <x:c r="B1" s="5" t="s">
        <x:v>768</x:v>
      </x:c>
      <x:c r="C1" s="5" t="s">
        <x:v>955</x:v>
      </x:c>
      <x:c r="D1" s="5" t="s">
        <x:v>956</x:v>
      </x:c>
      <x:c r="E1" s="5" t="s">
        <x:v>957</x:v>
      </x:c>
    </x:row>
    <x:row r="2">
      <x:c r="A2" s="1" t="s">
        <x:v>958</x:v>
      </x:c>
      <x:c r="B2" s="1" t="s">
        <x:v>785</x:v>
      </x:c>
      <x:c r="C2" s="1">
        <x:v>1.0</x:v>
      </x:c>
      <x:c r="D2" s="1"/>
      <x:c r="E2" s="1" t="s">
        <x:v>959</x:v>
      </x:c>
    </x:row>
    <x:row r="3">
      <x:c r="A3" s="1" t="s">
        <x:v>960</x:v>
      </x:c>
      <x:c r="B3" s="1" t="s">
        <x:v>785</x:v>
      </x:c>
      <x:c r="C3" s="1">
        <x:v>2.0</x:v>
      </x:c>
      <x:c r="D3" s="1"/>
      <x:c r="E3" s="1" t="s">
        <x:v>961</x:v>
      </x:c>
    </x:row>
    <x:row r="4">
      <x:c r="A4" s="1" t="s">
        <x:v>962</x:v>
      </x:c>
      <x:c r="B4" s="1" t="s">
        <x:v>785</x:v>
      </x:c>
      <x:c r="C4" s="1">
        <x:v>3.0</x:v>
      </x:c>
      <x:c r="D4" s="1"/>
      <x:c r="E4" s="1" t="s">
        <x:v>963</x:v>
      </x:c>
    </x:row>
    <x:row r="5">
      <x:c r="A5" s="1" t="s">
        <x:v>964</x:v>
      </x:c>
      <x:c r="B5" s="1" t="s">
        <x:v>785</x:v>
      </x:c>
      <x:c r="C5" s="1">
        <x:v>4.0</x:v>
      </x:c>
      <x:c r="D5" s="1"/>
      <x:c r="E5" s="1" t="s">
        <x:v>965</x:v>
      </x:c>
    </x:row>
    <x:row r="6">
      <x:c r="A6" s="1" t="s">
        <x:v>966</x:v>
      </x:c>
      <x:c r="B6" s="1" t="s">
        <x:v>787</x:v>
      </x:c>
      <x:c r="C6" s="1">
        <x:v>1.0</x:v>
      </x:c>
      <x:c r="D6" s="1"/>
      <x:c r="E6" s="1" t="s">
        <x:v>967</x:v>
      </x:c>
    </x:row>
    <x:row r="7">
      <x:c r="A7" s="1" t="s">
        <x:v>968</x:v>
      </x:c>
      <x:c r="B7" s="1" t="s">
        <x:v>787</x:v>
      </x:c>
      <x:c r="C7" s="1">
        <x:v>2.0</x:v>
      </x:c>
      <x:c r="D7" s="1"/>
      <x:c r="E7" s="1" t="s">
        <x:v>969</x:v>
      </x:c>
    </x:row>
    <x:row r="8">
      <x:c r="A8" s="1" t="s">
        <x:v>970</x:v>
      </x:c>
      <x:c r="B8" s="1" t="s">
        <x:v>787</x:v>
      </x:c>
      <x:c r="C8" s="1">
        <x:v>3.0</x:v>
      </x:c>
      <x:c r="D8" s="1"/>
      <x:c r="E8" s="1" t="s">
        <x:v>971</x:v>
      </x:c>
    </x:row>
    <x:row r="9">
      <x:c r="A9" s="1" t="s">
        <x:v>972</x:v>
      </x:c>
      <x:c r="B9" s="1" t="s">
        <x:v>789</x:v>
      </x:c>
      <x:c r="C9" s="1">
        <x:v>1.0</x:v>
      </x:c>
      <x:c r="D9" s="1"/>
      <x:c r="E9" s="1" t="s">
        <x:v>973</x:v>
      </x:c>
    </x:row>
    <x:row r="10">
      <x:c r="A10" s="1" t="s">
        <x:v>974</x:v>
      </x:c>
      <x:c r="B10" s="1" t="s">
        <x:v>789</x:v>
      </x:c>
      <x:c r="C10" s="1">
        <x:v>2.0</x:v>
      </x:c>
      <x:c r="D10" s="1"/>
      <x:c r="E10" s="1" t="s">
        <x:v>975</x:v>
      </x:c>
    </x:row>
    <x:row r="11">
      <x:c r="A11" s="1" t="s">
        <x:v>976</x:v>
      </x:c>
      <x:c r="B11" s="1" t="s">
        <x:v>789</x:v>
      </x:c>
      <x:c r="C11" s="1">
        <x:v>3.0</x:v>
      </x:c>
      <x:c r="D11" s="1"/>
      <x:c r="E11" s="1" t="s">
        <x:v>977</x:v>
      </x:c>
    </x:row>
    <x:row r="12">
      <x:c r="A12" s="1" t="s">
        <x:v>978</x:v>
      </x:c>
      <x:c r="B12" s="1" t="s">
        <x:v>791</x:v>
      </x:c>
      <x:c r="C12" s="1">
        <x:v>1.0</x:v>
      </x:c>
      <x:c r="D12" s="1"/>
      <x:c r="E12" s="1" t="s">
        <x:v>979</x:v>
      </x:c>
    </x:row>
    <x:row r="13">
      <x:c r="A13" s="1" t="s">
        <x:v>980</x:v>
      </x:c>
      <x:c r="B13" s="1" t="s">
        <x:v>791</x:v>
      </x:c>
      <x:c r="C13" s="1">
        <x:v>2.0</x:v>
      </x:c>
      <x:c r="D13" s="1"/>
      <x:c r="E13" s="1" t="s">
        <x:v>981</x:v>
      </x:c>
    </x:row>
    <x:row r="14">
      <x:c r="A14" s="1" t="s">
        <x:v>982</x:v>
      </x:c>
      <x:c r="B14" s="1" t="s">
        <x:v>791</x:v>
      </x:c>
      <x:c r="C14" s="1">
        <x:v>3.0</x:v>
      </x:c>
      <x:c r="D14" s="1"/>
      <x:c r="E14" s="1" t="s">
        <x:v>983</x:v>
      </x:c>
    </x:row>
    <x:row r="15">
      <x:c r="A15" s="1" t="s">
        <x:v>984</x:v>
      </x:c>
      <x:c r="B15" s="1" t="s">
        <x:v>793</x:v>
      </x:c>
      <x:c r="C15" s="1">
        <x:v>1.0</x:v>
      </x:c>
      <x:c r="D15" s="1"/>
      <x:c r="E15" s="1" t="s">
        <x:v>985</x:v>
      </x:c>
    </x:row>
    <x:row r="16">
      <x:c r="A16" s="1" t="s">
        <x:v>986</x:v>
      </x:c>
      <x:c r="B16" s="1" t="s">
        <x:v>793</x:v>
      </x:c>
      <x:c r="C16" s="1">
        <x:v>2.0</x:v>
      </x:c>
      <x:c r="D16" s="1"/>
      <x:c r="E16" s="1" t="s">
        <x:v>987</x:v>
      </x:c>
    </x:row>
    <x:row r="17">
      <x:c r="A17" s="1" t="s">
        <x:v>988</x:v>
      </x:c>
      <x:c r="B17" s="1" t="s">
        <x:v>793</x:v>
      </x:c>
      <x:c r="C17" s="1">
        <x:v>3.0</x:v>
      </x:c>
      <x:c r="D17" s="1"/>
      <x:c r="E17" s="1" t="s">
        <x:v>989</x:v>
      </x:c>
    </x:row>
    <x:row r="18">
      <x:c r="A18" s="1" t="s">
        <x:v>990</x:v>
      </x:c>
      <x:c r="B18" s="1" t="s">
        <x:v>795</x:v>
      </x:c>
      <x:c r="C18" s="1">
        <x:v>1.0</x:v>
      </x:c>
      <x:c r="D18" s="1"/>
      <x:c r="E18" s="1" t="s">
        <x:v>991</x:v>
      </x:c>
    </x:row>
    <x:row r="19">
      <x:c r="A19" s="1" t="s">
        <x:v>992</x:v>
      </x:c>
      <x:c r="B19" s="1" t="s">
        <x:v>795</x:v>
      </x:c>
      <x:c r="C19" s="1">
        <x:v>2.0</x:v>
      </x:c>
      <x:c r="D19" s="1"/>
      <x:c r="E19" s="1" t="s">
        <x:v>993</x:v>
      </x:c>
    </x:row>
    <x:row r="20">
      <x:c r="A20" s="1" t="s">
        <x:v>994</x:v>
      </x:c>
      <x:c r="B20" s="1" t="s">
        <x:v>795</x:v>
      </x:c>
      <x:c r="C20" s="1">
        <x:v>3.0</x:v>
      </x:c>
      <x:c r="D20" s="1"/>
      <x:c r="E20" s="1" t="s">
        <x:v>995</x:v>
      </x:c>
    </x:row>
    <x:row r="21">
      <x:c r="A21" s="1" t="s">
        <x:v>996</x:v>
      </x:c>
      <x:c r="B21" s="1" t="s">
        <x:v>797</x:v>
      </x:c>
      <x:c r="C21" s="1">
        <x:v>1.0</x:v>
      </x:c>
      <x:c r="D21" s="1"/>
      <x:c r="E21" s="1" t="s">
        <x:v>997</x:v>
      </x:c>
    </x:row>
    <x:row r="22">
      <x:c r="A22" s="1" t="s">
        <x:v>998</x:v>
      </x:c>
      <x:c r="B22" s="1" t="s">
        <x:v>797</x:v>
      </x:c>
      <x:c r="C22" s="1">
        <x:v>2.0</x:v>
      </x:c>
      <x:c r="D22" s="1"/>
      <x:c r="E22" s="1" t="s">
        <x:v>999</x:v>
      </x:c>
    </x:row>
    <x:row r="23">
      <x:c r="A23" s="1" t="s">
        <x:v>1000</x:v>
      </x:c>
      <x:c r="B23" s="1" t="s">
        <x:v>797</x:v>
      </x:c>
      <x:c r="C23" s="1">
        <x:v>3.0</x:v>
      </x:c>
      <x:c r="D23" s="1"/>
      <x:c r="E23" s="1" t="s">
        <x:v>1001</x:v>
      </x:c>
    </x:row>
    <x:row r="24">
      <x:c r="A24" s="1" t="s">
        <x:v>1002</x:v>
      </x:c>
      <x:c r="B24" s="1" t="s">
        <x:v>799</x:v>
      </x:c>
      <x:c r="C24" s="1">
        <x:v>1.0</x:v>
      </x:c>
      <x:c r="D24" s="1"/>
      <x:c r="E24" s="1" t="s">
        <x:v>1003</x:v>
      </x:c>
    </x:row>
    <x:row r="25">
      <x:c r="A25" s="1" t="s">
        <x:v>1004</x:v>
      </x:c>
      <x:c r="B25" s="1" t="s">
        <x:v>799</x:v>
      </x:c>
      <x:c r="C25" s="1">
        <x:v>2.0</x:v>
      </x:c>
      <x:c r="D25" s="1"/>
      <x:c r="E25" s="1" t="s">
        <x:v>1005</x:v>
      </x:c>
    </x:row>
    <x:row r="26">
      <x:c r="A26" s="1" t="s">
        <x:v>1006</x:v>
      </x:c>
      <x:c r="B26" s="1" t="s">
        <x:v>799</x:v>
      </x:c>
      <x:c r="C26" s="1">
        <x:v>3.0</x:v>
      </x:c>
      <x:c r="D26" s="1"/>
      <x:c r="E26" s="1" t="s">
        <x:v>1007</x:v>
      </x:c>
    </x:row>
    <x:row r="27">
      <x:c r="A27" s="1" t="s">
        <x:v>1008</x:v>
      </x:c>
      <x:c r="B27" s="1" t="s">
        <x:v>801</x:v>
      </x:c>
      <x:c r="C27" s="1">
        <x:v>1.0</x:v>
      </x:c>
      <x:c r="D27" s="1"/>
      <x:c r="E27" s="1" t="s">
        <x:v>1009</x:v>
      </x:c>
    </x:row>
    <x:row r="28">
      <x:c r="A28" s="1" t="s">
        <x:v>1010</x:v>
      </x:c>
      <x:c r="B28" s="1" t="s">
        <x:v>801</x:v>
      </x:c>
      <x:c r="C28" s="1">
        <x:v>2.0</x:v>
      </x:c>
      <x:c r="D28" s="1"/>
      <x:c r="E28" s="1" t="s">
        <x:v>1011</x:v>
      </x:c>
    </x:row>
    <x:row r="29">
      <x:c r="A29" s="1" t="s">
        <x:v>1012</x:v>
      </x:c>
      <x:c r="B29" s="1" t="s">
        <x:v>801</x:v>
      </x:c>
      <x:c r="C29" s="1">
        <x:v>3.0</x:v>
      </x:c>
      <x:c r="D29" s="1"/>
      <x:c r="E29" s="1" t="s">
        <x:v>1013</x:v>
      </x:c>
    </x:row>
    <x:row r="30">
      <x:c r="A30" s="1" t="s">
        <x:v>1014</x:v>
      </x:c>
      <x:c r="B30" s="1" t="s">
        <x:v>803</x:v>
      </x:c>
      <x:c r="C30" s="1">
        <x:v>1.0</x:v>
      </x:c>
      <x:c r="D30" s="1"/>
      <x:c r="E30" s="1" t="s">
        <x:v>1015</x:v>
      </x:c>
    </x:row>
    <x:row r="31">
      <x:c r="A31" s="1" t="s">
        <x:v>1016</x:v>
      </x:c>
      <x:c r="B31" s="1" t="s">
        <x:v>803</x:v>
      </x:c>
      <x:c r="C31" s="1">
        <x:v>2.0</x:v>
      </x:c>
      <x:c r="D31" s="1"/>
      <x:c r="E31" s="1" t="s">
        <x:v>1017</x:v>
      </x:c>
    </x:row>
    <x:row r="32">
      <x:c r="A32" s="1" t="s">
        <x:v>1018</x:v>
      </x:c>
      <x:c r="B32" s="1" t="s">
        <x:v>803</x:v>
      </x:c>
      <x:c r="C32" s="1">
        <x:v>3.0</x:v>
      </x:c>
      <x:c r="D32" s="1"/>
      <x:c r="E32" s="1" t="s">
        <x:v>1019</x:v>
      </x:c>
    </x:row>
    <x:row r="33">
      <x:c r="A33" s="1" t="s">
        <x:v>1020</x:v>
      </x:c>
      <x:c r="B33" s="1" t="s">
        <x:v>805</x:v>
      </x:c>
      <x:c r="C33" s="1">
        <x:v>1.0</x:v>
      </x:c>
      <x:c r="D33" s="1"/>
      <x:c r="E33" s="1" t="s">
        <x:v>1021</x:v>
      </x:c>
    </x:row>
    <x:row r="34">
      <x:c r="A34" s="1" t="s">
        <x:v>1022</x:v>
      </x:c>
      <x:c r="B34" s="1" t="s">
        <x:v>805</x:v>
      </x:c>
      <x:c r="C34" s="1">
        <x:v>2.0</x:v>
      </x:c>
      <x:c r="D34" s="1"/>
      <x:c r="E34" s="1" t="s">
        <x:v>1023</x:v>
      </x:c>
    </x:row>
    <x:row r="35">
      <x:c r="A35" s="1" t="s">
        <x:v>1024</x:v>
      </x:c>
      <x:c r="B35" s="1" t="s">
        <x:v>805</x:v>
      </x:c>
      <x:c r="C35" s="1">
        <x:v>3.0</x:v>
      </x:c>
      <x:c r="D35" s="1"/>
      <x:c r="E35" s="1" t="s">
        <x:v>1025</x:v>
      </x:c>
    </x:row>
    <x:row r="36">
      <x:c r="A36" s="1" t="s">
        <x:v>1026</x:v>
      </x:c>
      <x:c r="B36" s="1" t="s">
        <x:v>807</x:v>
      </x:c>
      <x:c r="C36" s="1">
        <x:v>1.0</x:v>
      </x:c>
      <x:c r="D36" s="1"/>
      <x:c r="E36" s="1" t="s">
        <x:v>1027</x:v>
      </x:c>
    </x:row>
    <x:row r="37">
      <x:c r="A37" s="1" t="s">
        <x:v>1028</x:v>
      </x:c>
      <x:c r="B37" s="1" t="s">
        <x:v>807</x:v>
      </x:c>
      <x:c r="C37" s="1">
        <x:v>2.0</x:v>
      </x:c>
      <x:c r="D37" s="1"/>
      <x:c r="E37" s="1" t="s">
        <x:v>1029</x:v>
      </x:c>
    </x:row>
    <x:row r="38">
      <x:c r="A38" s="1" t="s">
        <x:v>1030</x:v>
      </x:c>
      <x:c r="B38" s="1" t="s">
        <x:v>807</x:v>
      </x:c>
      <x:c r="C38" s="1">
        <x:v>3.0</x:v>
      </x:c>
      <x:c r="D38" s="1"/>
      <x:c r="E38" s="1" t="s">
        <x:v>1031</x:v>
      </x:c>
    </x:row>
    <x:row r="39">
      <x:c r="A39" s="8" t="s">
        <x:v>1032</x:v>
      </x:c>
      <x:c r="B39" s="8" t="s">
        <x:v>809</x:v>
      </x:c>
      <x:c r="C39" s="18">
        <x:v>1.0</x:v>
      </x:c>
      <x:c r="D39" s="18"/>
      <x:c r="E39" s="8" t="s">
        <x:v>1033</x:v>
      </x:c>
    </x:row>
    <x:row r="40">
      <x:c r="A40" s="8" t="s">
        <x:v>1034</x:v>
      </x:c>
      <x:c r="B40" s="8" t="s">
        <x:v>809</x:v>
      </x:c>
      <x:c r="C40" s="18">
        <x:v>2.0</x:v>
      </x:c>
      <x:c r="D40" s="18"/>
      <x:c r="E40" s="8" t="s">
        <x:v>1035</x:v>
      </x:c>
    </x:row>
    <x:row r="41">
      <x:c r="A41" s="8" t="s">
        <x:v>1036</x:v>
      </x:c>
      <x:c r="B41" s="8" t="s">
        <x:v>809</x:v>
      </x:c>
      <x:c r="C41" s="18">
        <x:v>3.0</x:v>
      </x:c>
      <x:c r="D41" s="18"/>
      <x:c r="E41" s="8" t="s">
        <x:v>1037</x:v>
      </x:c>
    </x:row>
    <x:row r="42">
      <x:c r="A42" s="8" t="s">
        <x:v>1038</x:v>
      </x:c>
      <x:c r="B42" s="8" t="s">
        <x:v>809</x:v>
      </x:c>
      <x:c r="C42" s="18">
        <x:v>4.0</x:v>
      </x:c>
      <x:c r="D42" s="18"/>
      <x:c r="E42" s="8" t="s">
        <x:v>1039</x:v>
      </x:c>
    </x:row>
    <x:row r="43">
      <x:c r="A43" s="8" t="s">
        <x:v>1040</x:v>
      </x:c>
      <x:c r="B43" s="8" t="s">
        <x:v>809</x:v>
      </x:c>
      <x:c r="C43" s="18">
        <x:v>5.0</x:v>
      </x:c>
      <x:c r="D43" s="18"/>
      <x:c r="E43" s="8" t="s">
        <x:v>1041</x:v>
      </x:c>
    </x:row>
    <x:row r="44">
      <x:c r="A44" s="8" t="s">
        <x:v>1042</x:v>
      </x:c>
      <x:c r="B44" s="8" t="s">
        <x:v>811</x:v>
      </x:c>
      <x:c r="C44" s="18">
        <x:v>1.0</x:v>
      </x:c>
      <x:c r="D44" s="18"/>
      <x:c r="E44" s="8" t="s">
        <x:v>1043</x:v>
      </x:c>
    </x:row>
    <x:row r="45">
      <x:c r="A45" s="8" t="s">
        <x:v>1044</x:v>
      </x:c>
      <x:c r="B45" s="8" t="s">
        <x:v>811</x:v>
      </x:c>
      <x:c r="C45" s="18">
        <x:v>2.0</x:v>
      </x:c>
      <x:c r="D45" s="18"/>
      <x:c r="E45" s="8" t="s">
        <x:v>1045</x:v>
      </x:c>
    </x:row>
    <x:row r="46">
      <x:c r="A46" s="8" t="s">
        <x:v>1046</x:v>
      </x:c>
      <x:c r="B46" s="8" t="s">
        <x:v>811</x:v>
      </x:c>
      <x:c r="C46" s="18">
        <x:v>3.0</x:v>
      </x:c>
      <x:c r="D46" s="18"/>
      <x:c r="E46" s="8" t="s">
        <x:v>1047</x:v>
      </x:c>
    </x:row>
    <x:row r="47">
      <x:c r="A47" s="8" t="s">
        <x:v>1048</x:v>
      </x:c>
      <x:c r="B47" s="8" t="s">
        <x:v>813</x:v>
      </x:c>
      <x:c r="C47" s="18">
        <x:v>1.0</x:v>
      </x:c>
      <x:c r="D47" s="18"/>
      <x:c r="E47" s="8" t="s">
        <x:v>1049</x:v>
      </x:c>
    </x:row>
    <x:row r="48">
      <x:c r="A48" s="8" t="s">
        <x:v>1050</x:v>
      </x:c>
      <x:c r="B48" s="8" t="s">
        <x:v>813</x:v>
      </x:c>
      <x:c r="C48" s="18">
        <x:v>2.0</x:v>
      </x:c>
      <x:c r="D48" s="18"/>
      <x:c r="E48" s="8" t="s">
        <x:v>1051</x:v>
      </x:c>
    </x:row>
    <x:row r="49">
      <x:c r="A49" s="8" t="s">
        <x:v>1052</x:v>
      </x:c>
      <x:c r="B49" s="8" t="s">
        <x:v>813</x:v>
      </x:c>
      <x:c r="C49" s="18">
        <x:v>3.0</x:v>
      </x:c>
      <x:c r="D49" s="18"/>
      <x:c r="E49" s="8" t="s">
        <x:v>1053</x:v>
      </x:c>
    </x:row>
    <x:row r="50">
      <x:c r="A50" s="8" t="s">
        <x:v>1054</x:v>
      </x:c>
      <x:c r="B50" s="8" t="s">
        <x:v>815</x:v>
      </x:c>
      <x:c r="C50" s="18">
        <x:v>1.0</x:v>
      </x:c>
      <x:c r="D50" s="18"/>
      <x:c r="E50" s="8" t="s">
        <x:v>1055</x:v>
      </x:c>
    </x:row>
    <x:row r="51">
      <x:c r="A51" s="8" t="s">
        <x:v>1056</x:v>
      </x:c>
      <x:c r="B51" s="8" t="s">
        <x:v>815</x:v>
      </x:c>
      <x:c r="C51" s="18">
        <x:v>2.0</x:v>
      </x:c>
      <x:c r="D51" s="18"/>
      <x:c r="E51" s="8" t="s">
        <x:v>1057</x:v>
      </x:c>
    </x:row>
    <x:row r="52">
      <x:c r="A52" s="8" t="s">
        <x:v>1058</x:v>
      </x:c>
      <x:c r="B52" s="8" t="s">
        <x:v>815</x:v>
      </x:c>
      <x:c r="C52" s="18">
        <x:v>3.0</x:v>
      </x:c>
      <x:c r="D52" s="18"/>
      <x:c r="E52" s="8" t="s">
        <x:v>1059</x:v>
      </x:c>
    </x:row>
    <x:row r="53">
      <x:c r="A53" s="8" t="s">
        <x:v>1060</x:v>
      </x:c>
      <x:c r="B53" s="8" t="s">
        <x:v>817</x:v>
      </x:c>
      <x:c r="C53" s="18">
        <x:v>1.0</x:v>
      </x:c>
      <x:c r="D53" s="18"/>
      <x:c r="E53" s="8" t="s">
        <x:v>1061</x:v>
      </x:c>
    </x:row>
    <x:row r="54">
      <x:c r="A54" s="8" t="s">
        <x:v>1062</x:v>
      </x:c>
      <x:c r="B54" s="8" t="s">
        <x:v>817</x:v>
      </x:c>
      <x:c r="C54" s="18">
        <x:v>2.0</x:v>
      </x:c>
      <x:c r="D54" s="18"/>
      <x:c r="E54" s="8" t="s">
        <x:v>1063</x:v>
      </x:c>
    </x:row>
    <x:row r="55">
      <x:c r="A55" s="8" t="s">
        <x:v>1064</x:v>
      </x:c>
      <x:c r="B55" s="8" t="s">
        <x:v>817</x:v>
      </x:c>
      <x:c r="C55" s="18">
        <x:v>3.0</x:v>
      </x:c>
      <x:c r="D55" s="18"/>
      <x:c r="E55" s="8" t="s">
        <x:v>1065</x:v>
      </x:c>
    </x:row>
    <x:row r="56">
      <x:c r="A56" s="8" t="s">
        <x:v>1066</x:v>
      </x:c>
      <x:c r="B56" s="8" t="s">
        <x:v>819</x:v>
      </x:c>
      <x:c r="C56" s="18">
        <x:v>1.0</x:v>
      </x:c>
      <x:c r="D56" s="18"/>
      <x:c r="E56" s="8" t="s">
        <x:v>1067</x:v>
      </x:c>
    </x:row>
    <x:row r="57">
      <x:c r="A57" s="8" t="s">
        <x:v>1068</x:v>
      </x:c>
      <x:c r="B57" s="8" t="s">
        <x:v>819</x:v>
      </x:c>
      <x:c r="C57" s="18">
        <x:v>2.0</x:v>
      </x:c>
      <x:c r="D57" s="18"/>
      <x:c r="E57" s="8" t="s">
        <x:v>1069</x:v>
      </x:c>
    </x:row>
    <x:row r="58">
      <x:c r="A58" s="8" t="s">
        <x:v>1070</x:v>
      </x:c>
      <x:c r="B58" s="8" t="s">
        <x:v>819</x:v>
      </x:c>
      <x:c r="C58" s="18">
        <x:v>3.0</x:v>
      </x:c>
      <x:c r="D58" s="18"/>
      <x:c r="E58" s="8" t="s">
        <x:v>1071</x:v>
      </x:c>
    </x:row>
    <x:row r="59">
      <x:c r="A59" s="8" t="s">
        <x:v>1072</x:v>
      </x:c>
      <x:c r="B59" s="8" t="s">
        <x:v>821</x:v>
      </x:c>
      <x:c r="C59" s="18">
        <x:v>1.0</x:v>
      </x:c>
      <x:c r="D59" s="18"/>
      <x:c r="E59" s="8" t="s">
        <x:v>1073</x:v>
      </x:c>
    </x:row>
    <x:row r="60">
      <x:c r="A60" s="8" t="s">
        <x:v>1074</x:v>
      </x:c>
      <x:c r="B60" s="8" t="s">
        <x:v>821</x:v>
      </x:c>
      <x:c r="C60" s="18">
        <x:v>2.0</x:v>
      </x:c>
      <x:c r="D60" s="18"/>
      <x:c r="E60" s="8" t="s">
        <x:v>1075</x:v>
      </x:c>
    </x:row>
    <x:row r="61">
      <x:c r="A61" s="8" t="s">
        <x:v>1076</x:v>
      </x:c>
      <x:c r="B61" s="8" t="s">
        <x:v>821</x:v>
      </x:c>
      <x:c r="C61" s="18">
        <x:v>3.0</x:v>
      </x:c>
      <x:c r="D61" s="18"/>
      <x:c r="E61" s="8" t="s">
        <x:v>1077</x:v>
      </x:c>
    </x:row>
    <x:row r="62">
      <x:c r="A62" s="8" t="s">
        <x:v>1078</x:v>
      </x:c>
      <x:c r="B62" s="8" t="s">
        <x:v>823</x:v>
      </x:c>
      <x:c r="C62" s="18">
        <x:v>1.0</x:v>
      </x:c>
      <x:c r="D62" s="18"/>
      <x:c r="E62" s="8" t="s">
        <x:v>1079</x:v>
      </x:c>
    </x:row>
    <x:row r="63">
      <x:c r="A63" s="8" t="s">
        <x:v>1080</x:v>
      </x:c>
      <x:c r="B63" s="8" t="s">
        <x:v>823</x:v>
      </x:c>
      <x:c r="C63" s="18">
        <x:v>2.0</x:v>
      </x:c>
      <x:c r="D63" s="18"/>
      <x:c r="E63" s="8" t="s">
        <x:v>1081</x:v>
      </x:c>
    </x:row>
    <x:row r="64">
      <x:c r="A64" s="8" t="s">
        <x:v>1082</x:v>
      </x:c>
      <x:c r="B64" s="8" t="s">
        <x:v>823</x:v>
      </x:c>
      <x:c r="C64" s="18">
        <x:v>3.0</x:v>
      </x:c>
      <x:c r="D64" s="18"/>
      <x:c r="E64" s="8" t="s">
        <x:v>1083</x:v>
      </x:c>
    </x:row>
    <x:row r="65">
      <x:c r="A65" s="8" t="s">
        <x:v>1084</x:v>
      </x:c>
      <x:c r="B65" s="8" t="s">
        <x:v>825</x:v>
      </x:c>
      <x:c r="C65" s="18">
        <x:v>1.0</x:v>
      </x:c>
      <x:c r="D65" s="18"/>
      <x:c r="E65" s="8" t="s">
        <x:v>1085</x:v>
      </x:c>
    </x:row>
    <x:row r="66">
      <x:c r="A66" s="8" t="s">
        <x:v>1086</x:v>
      </x:c>
      <x:c r="B66" s="8" t="s">
        <x:v>825</x:v>
      </x:c>
      <x:c r="C66" s="18">
        <x:v>2.0</x:v>
      </x:c>
      <x:c r="D66" s="18"/>
      <x:c r="E66" s="8" t="s">
        <x:v>1087</x:v>
      </x:c>
    </x:row>
    <x:row r="67">
      <x:c r="A67" s="8" t="s">
        <x:v>1088</x:v>
      </x:c>
      <x:c r="B67" s="8" t="s">
        <x:v>825</x:v>
      </x:c>
      <x:c r="C67" s="18">
        <x:v>3.0</x:v>
      </x:c>
      <x:c r="D67" s="18"/>
      <x:c r="E67" s="8" t="s">
        <x:v>1089</x:v>
      </x:c>
    </x:row>
    <x:row r="68">
      <x:c r="A68" s="8" t="s">
        <x:v>1090</x:v>
      </x:c>
      <x:c r="B68" s="8" t="s">
        <x:v>827</x:v>
      </x:c>
      <x:c r="C68" s="18">
        <x:v>1.0</x:v>
      </x:c>
      <x:c r="D68" s="18"/>
      <x:c r="E68" s="8" t="s">
        <x:v>1091</x:v>
      </x:c>
    </x:row>
    <x:row r="69">
      <x:c r="A69" s="8" t="s">
        <x:v>1092</x:v>
      </x:c>
      <x:c r="B69" s="8" t="s">
        <x:v>827</x:v>
      </x:c>
      <x:c r="C69" s="18">
        <x:v>2.0</x:v>
      </x:c>
      <x:c r="D69" s="18"/>
      <x:c r="E69" s="8" t="s">
        <x:v>1093</x:v>
      </x:c>
    </x:row>
    <x:row r="70">
      <x:c r="A70" s="8" t="s">
        <x:v>1094</x:v>
      </x:c>
      <x:c r="B70" s="8" t="s">
        <x:v>827</x:v>
      </x:c>
      <x:c r="C70" s="18">
        <x:v>3.0</x:v>
      </x:c>
      <x:c r="D70" s="18"/>
      <x:c r="E70" s="8" t="s">
        <x:v>1095</x:v>
      </x:c>
    </x:row>
    <x:row r="71">
      <x:c r="A71" s="3" t="s">
        <x:v>1096</x:v>
      </x:c>
      <x:c r="B71" s="3" t="s">
        <x:v>829</x:v>
      </x:c>
      <x:c r="C71" s="19">
        <x:v>1.0</x:v>
      </x:c>
      <x:c r="D71" s="19"/>
      <x:c r="E71" s="3" t="s">
        <x:v>1097</x:v>
      </x:c>
    </x:row>
    <x:row r="72">
      <x:c r="A72" s="4" t="s">
        <x:v>1098</x:v>
      </x:c>
      <x:c r="B72" s="4" t="s">
        <x:v>829</x:v>
      </x:c>
      <x:c r="C72" s="20">
        <x:v>2.0</x:v>
      </x:c>
      <x:c r="D72" s="20"/>
      <x:c r="E72" s="4" t="s">
        <x:v>1099</x:v>
      </x:c>
    </x:row>
    <x:row r="73">
      <x:c r="A73" s="3" t="s">
        <x:v>1100</x:v>
      </x:c>
      <x:c r="B73" s="3" t="s">
        <x:v>829</x:v>
      </x:c>
      <x:c r="C73" s="19">
        <x:v>3.0</x:v>
      </x:c>
      <x:c r="D73" s="19"/>
      <x:c r="E73" s="3" t="s">
        <x:v>1101</x:v>
      </x:c>
    </x:row>
    <x:row r="74">
      <x:c r="A74" s="4" t="s">
        <x:v>1102</x:v>
      </x:c>
      <x:c r="B74" s="4" t="s">
        <x:v>829</x:v>
      </x:c>
      <x:c r="C74" s="20">
        <x:v>4.0</x:v>
      </x:c>
      <x:c r="D74" s="20"/>
      <x:c r="E74" s="4" t="s">
        <x:v>1103</x:v>
      </x:c>
    </x:row>
    <x:row r="75">
      <x:c r="A75" s="3" t="s">
        <x:v>1104</x:v>
      </x:c>
      <x:c r="B75" s="3" t="s">
        <x:v>829</x:v>
      </x:c>
      <x:c r="C75" s="19">
        <x:v>5.0</x:v>
      </x:c>
      <x:c r="D75" s="19"/>
      <x:c r="E75" s="3" t="s">
        <x:v>1105</x:v>
      </x:c>
    </x:row>
    <x:row r="76">
      <x:c r="A76" s="4" t="s">
        <x:v>1106</x:v>
      </x:c>
      <x:c r="B76" s="4" t="s">
        <x:v>829</x:v>
      </x:c>
      <x:c r="C76" s="20">
        <x:v>6.0</x:v>
      </x:c>
      <x:c r="D76" s="20"/>
      <x:c r="E76" s="4" t="s">
        <x:v>1107</x:v>
      </x:c>
    </x:row>
    <x:row r="77">
      <x:c r="A77" s="3" t="s">
        <x:v>1108</x:v>
      </x:c>
      <x:c r="B77" s="3" t="s">
        <x:v>831</x:v>
      </x:c>
      <x:c r="C77" s="19">
        <x:v>1.0</x:v>
      </x:c>
      <x:c r="D77" s="19"/>
      <x:c r="E77" s="3" t="s">
        <x:v>1097</x:v>
      </x:c>
    </x:row>
    <x:row r="78">
      <x:c r="A78" s="4" t="s">
        <x:v>1109</x:v>
      </x:c>
      <x:c r="B78" s="4" t="s">
        <x:v>831</x:v>
      </x:c>
      <x:c r="C78" s="20">
        <x:v>2.0</x:v>
      </x:c>
      <x:c r="D78" s="20"/>
      <x:c r="E78" s="4" t="s">
        <x:v>1099</x:v>
      </x:c>
    </x:row>
    <x:row r="79">
      <x:c r="A79" s="3" t="s">
        <x:v>1110</x:v>
      </x:c>
      <x:c r="B79" s="3" t="s">
        <x:v>831</x:v>
      </x:c>
      <x:c r="C79" s="19">
        <x:v>3.0</x:v>
      </x:c>
      <x:c r="D79" s="19"/>
      <x:c r="E79" s="3" t="s">
        <x:v>1101</x:v>
      </x:c>
    </x:row>
    <x:row r="80">
      <x:c r="A80" s="4" t="s">
        <x:v>1111</x:v>
      </x:c>
      <x:c r="B80" s="4" t="s">
        <x:v>831</x:v>
      </x:c>
      <x:c r="C80" s="20">
        <x:v>4.0</x:v>
      </x:c>
      <x:c r="D80" s="20"/>
      <x:c r="E80" s="4" t="s">
        <x:v>1112</x:v>
      </x:c>
    </x:row>
    <x:row r="81">
      <x:c r="A81" s="3" t="s">
        <x:v>1113</x:v>
      </x:c>
      <x:c r="B81" s="3" t="s">
        <x:v>831</x:v>
      </x:c>
      <x:c r="C81" s="19">
        <x:v>5.0</x:v>
      </x:c>
      <x:c r="D81" s="19"/>
      <x:c r="E81" s="3" t="s">
        <x:v>1114</x:v>
      </x:c>
    </x:row>
    <x:row r="82">
      <x:c r="A82" s="4" t="s">
        <x:v>1115</x:v>
      </x:c>
      <x:c r="B82" s="4" t="s">
        <x:v>833</x:v>
      </x:c>
      <x:c r="C82" s="20">
        <x:v>1.0</x:v>
      </x:c>
      <x:c r="D82" s="20"/>
      <x:c r="E82" s="4" t="s">
        <x:v>1116</x:v>
      </x:c>
    </x:row>
    <x:row r="83">
      <x:c r="A83" s="3" t="s">
        <x:v>1117</x:v>
      </x:c>
      <x:c r="B83" s="3" t="s">
        <x:v>833</x:v>
      </x:c>
      <x:c r="C83" s="19">
        <x:v>2.0</x:v>
      </x:c>
      <x:c r="D83" s="19"/>
      <x:c r="E83" s="3" t="s">
        <x:v>1118</x:v>
      </x:c>
    </x:row>
    <x:row r="84">
      <x:c r="A84" s="4" t="s">
        <x:v>1119</x:v>
      </x:c>
      <x:c r="B84" s="4" t="s">
        <x:v>833</x:v>
      </x:c>
      <x:c r="C84" s="20">
        <x:v>3.0</x:v>
      </x:c>
      <x:c r="D84" s="20"/>
      <x:c r="E84" s="4" t="s">
        <x:v>1120</x:v>
      </x:c>
    </x:row>
    <x:row r="85">
      <x:c r="A85" s="3" t="s">
        <x:v>1121</x:v>
      </x:c>
      <x:c r="B85" s="3" t="s">
        <x:v>833</x:v>
      </x:c>
      <x:c r="C85" s="19">
        <x:v>4.0</x:v>
      </x:c>
      <x:c r="D85" s="19"/>
      <x:c r="E85" s="3" t="s">
        <x:v>1122</x:v>
      </x:c>
    </x:row>
    <x:row r="86">
      <x:c r="A86" s="4" t="s">
        <x:v>1123</x:v>
      </x:c>
      <x:c r="B86" s="4" t="s">
        <x:v>833</x:v>
      </x:c>
      <x:c r="C86" s="20">
        <x:v>5.0</x:v>
      </x:c>
      <x:c r="D86" s="20"/>
      <x:c r="E86" s="4" t="s">
        <x:v>1124</x:v>
      </x:c>
    </x:row>
    <x:row r="87">
      <x:c r="A87" s="3" t="s">
        <x:v>1125</x:v>
      </x:c>
      <x:c r="B87" s="3" t="s">
        <x:v>833</x:v>
      </x:c>
      <x:c r="C87" s="19">
        <x:v>6.0</x:v>
      </x:c>
      <x:c r="D87" s="19"/>
      <x:c r="E87" s="3" t="s">
        <x:v>1126</x:v>
      </x:c>
    </x:row>
    <x:row r="88">
      <x:c r="A88" s="4" t="s">
        <x:v>1127</x:v>
      </x:c>
      <x:c r="B88" s="4" t="s">
        <x:v>833</x:v>
      </x:c>
      <x:c r="C88" s="20">
        <x:v>7.0</x:v>
      </x:c>
      <x:c r="D88" s="20"/>
      <x:c r="E88" s="4" t="s">
        <x:v>1128</x:v>
      </x:c>
    </x:row>
    <x:row r="89">
      <x:c r="A89" s="3" t="s">
        <x:v>1129</x:v>
      </x:c>
      <x:c r="B89" s="3" t="s">
        <x:v>835</x:v>
      </x:c>
      <x:c r="C89" s="19">
        <x:v>1.0</x:v>
      </x:c>
      <x:c r="D89" s="19"/>
      <x:c r="E89" s="3" t="s">
        <x:v>1116</x:v>
      </x:c>
    </x:row>
    <x:row r="90">
      <x:c r="A90" s="4" t="s">
        <x:v>1130</x:v>
      </x:c>
      <x:c r="B90" s="4" t="s">
        <x:v>835</x:v>
      </x:c>
      <x:c r="C90" s="20">
        <x:v>2.0</x:v>
      </x:c>
      <x:c r="D90" s="20"/>
      <x:c r="E90" s="4" t="s">
        <x:v>1131</x:v>
      </x:c>
    </x:row>
    <x:row r="91">
      <x:c r="A91" s="3" t="s">
        <x:v>1132</x:v>
      </x:c>
      <x:c r="B91" s="3" t="s">
        <x:v>835</x:v>
      </x:c>
      <x:c r="C91" s="19">
        <x:v>3.0</x:v>
      </x:c>
      <x:c r="D91" s="19"/>
      <x:c r="E91" s="3" t="s">
        <x:v>1133</x:v>
      </x:c>
    </x:row>
    <x:row r="92">
      <x:c r="A92" s="4" t="s">
        <x:v>1134</x:v>
      </x:c>
      <x:c r="B92" s="4" t="s">
        <x:v>835</x:v>
      </x:c>
      <x:c r="C92" s="20">
        <x:v>4.0</x:v>
      </x:c>
      <x:c r="D92" s="20"/>
      <x:c r="E92" s="4" t="s">
        <x:v>1135</x:v>
      </x:c>
    </x:row>
    <x:row r="93">
      <x:c r="A93" s="3" t="s">
        <x:v>1136</x:v>
      </x:c>
      <x:c r="B93" s="3" t="s">
        <x:v>837</x:v>
      </x:c>
      <x:c r="C93" s="19">
        <x:v>1.0</x:v>
      </x:c>
      <x:c r="D93" s="19"/>
      <x:c r="E93" s="3" t="s">
        <x:v>1137</x:v>
      </x:c>
    </x:row>
    <x:row r="94">
      <x:c r="A94" s="4" t="s">
        <x:v>1138</x:v>
      </x:c>
      <x:c r="B94" s="4" t="s">
        <x:v>837</x:v>
      </x:c>
      <x:c r="C94" s="20">
        <x:v>2.0</x:v>
      </x:c>
      <x:c r="D94" s="20"/>
      <x:c r="E94" s="4" t="s">
        <x:v>1139</x:v>
      </x:c>
    </x:row>
    <x:row r="95">
      <x:c r="A95" s="3" t="s">
        <x:v>1140</x:v>
      </x:c>
      <x:c r="B95" s="3" t="s">
        <x:v>837</x:v>
      </x:c>
      <x:c r="C95" s="19">
        <x:v>3.0</x:v>
      </x:c>
      <x:c r="D95" s="19"/>
      <x:c r="E95" s="3" t="s">
        <x:v>1141</x:v>
      </x:c>
    </x:row>
    <x:row r="96">
      <x:c r="A96" s="4" t="s">
        <x:v>1142</x:v>
      </x:c>
      <x:c r="B96" s="4" t="s">
        <x:v>837</x:v>
      </x:c>
      <x:c r="C96" s="20">
        <x:v>4.0</x:v>
      </x:c>
      <x:c r="D96" s="20"/>
      <x:c r="E96" s="4" t="s">
        <x:v>1143</x:v>
      </x:c>
    </x:row>
    <x:row r="97">
      <x:c r="A97" s="3" t="s">
        <x:v>1144</x:v>
      </x:c>
      <x:c r="B97" s="3" t="s">
        <x:v>837</x:v>
      </x:c>
      <x:c r="C97" s="19">
        <x:v>5.0</x:v>
      </x:c>
      <x:c r="D97" s="19"/>
      <x:c r="E97" s="3" t="s">
        <x:v>1145</x:v>
      </x:c>
    </x:row>
    <x:row r="98">
      <x:c r="A98" s="4" t="s">
        <x:v>1146</x:v>
      </x:c>
      <x:c r="B98" s="4" t="s">
        <x:v>837</x:v>
      </x:c>
      <x:c r="C98" s="20">
        <x:v>6.0</x:v>
      </x:c>
      <x:c r="D98" s="20"/>
      <x:c r="E98" s="4" t="s">
        <x:v>1147</x:v>
      </x:c>
    </x:row>
    <x:row r="99">
      <x:c r="A99" s="3" t="s">
        <x:v>1148</x:v>
      </x:c>
      <x:c r="B99" s="3" t="s">
        <x:v>837</x:v>
      </x:c>
      <x:c r="C99" s="19">
        <x:v>7.0</x:v>
      </x:c>
      <x:c r="D99" s="19"/>
      <x:c r="E99" s="3" t="s">
        <x:v>1149</x:v>
      </x:c>
    </x:row>
    <x:row r="100">
      <x:c r="A100" s="4" t="s">
        <x:v>1150</x:v>
      </x:c>
      <x:c r="B100" s="4" t="s">
        <x:v>839</x:v>
      </x:c>
      <x:c r="C100" s="20">
        <x:v>1.0</x:v>
      </x:c>
      <x:c r="D100" s="20"/>
      <x:c r="E100" s="4" t="s">
        <x:v>1116</x:v>
      </x:c>
    </x:row>
    <x:row r="101">
      <x:c r="A101" s="3" t="s">
        <x:v>1151</x:v>
      </x:c>
      <x:c r="B101" s="3" t="s">
        <x:v>839</x:v>
      </x:c>
      <x:c r="C101" s="19">
        <x:v>2.0</x:v>
      </x:c>
      <x:c r="D101" s="19"/>
      <x:c r="E101" s="3" t="s">
        <x:v>1152</x:v>
      </x:c>
    </x:row>
    <x:row r="102">
      <x:c r="A102" s="4" t="s">
        <x:v>1153</x:v>
      </x:c>
      <x:c r="B102" s="4" t="s">
        <x:v>839</x:v>
      </x:c>
      <x:c r="C102" s="20">
        <x:v>3.0</x:v>
      </x:c>
      <x:c r="D102" s="20"/>
      <x:c r="E102" s="4" t="s">
        <x:v>1154</x:v>
      </x:c>
    </x:row>
    <x:row r="103">
      <x:c r="A103" s="3" t="s">
        <x:v>1155</x:v>
      </x:c>
      <x:c r="B103" s="3" t="s">
        <x:v>839</x:v>
      </x:c>
      <x:c r="C103" s="19">
        <x:v>4.0</x:v>
      </x:c>
      <x:c r="D103" s="19"/>
      <x:c r="E103" s="3" t="s">
        <x:v>1143</x:v>
      </x:c>
    </x:row>
    <x:row r="104">
      <x:c r="A104" s="4" t="s">
        <x:v>1156</x:v>
      </x:c>
      <x:c r="B104" s="4" t="s">
        <x:v>839</x:v>
      </x:c>
      <x:c r="C104" s="20">
        <x:v>5.0</x:v>
      </x:c>
      <x:c r="D104" s="20"/>
      <x:c r="E104" s="4" t="s">
        <x:v>1157</x:v>
      </x:c>
    </x:row>
    <x:row r="105">
      <x:c r="A105" s="3" t="s">
        <x:v>1158</x:v>
      </x:c>
      <x:c r="B105" s="3" t="s">
        <x:v>839</x:v>
      </x:c>
      <x:c r="C105" s="19">
        <x:v>6.0</x:v>
      </x:c>
      <x:c r="D105" s="19"/>
      <x:c r="E105" s="3" t="s">
        <x:v>1159</x:v>
      </x:c>
    </x:row>
    <x:row r="106">
      <x:c r="A106" s="4" t="s">
        <x:v>1160</x:v>
      </x:c>
      <x:c r="B106" s="4" t="s">
        <x:v>839</x:v>
      </x:c>
      <x:c r="C106" s="20">
        <x:v>7.0</x:v>
      </x:c>
      <x:c r="D106" s="20"/>
      <x:c r="E106" s="4" t="s">
        <x:v>1161</x:v>
      </x:c>
    </x:row>
    <x:row r="107">
      <x:c r="A107" s="3" t="s">
        <x:v>1162</x:v>
      </x:c>
      <x:c r="B107" s="3" t="s">
        <x:v>841</x:v>
      </x:c>
      <x:c r="C107" s="19">
        <x:v>1.0</x:v>
      </x:c>
      <x:c r="D107" s="19"/>
      <x:c r="E107" s="3" t="s">
        <x:v>1116</x:v>
      </x:c>
    </x:row>
    <x:row r="108">
      <x:c r="A108" s="4" t="s">
        <x:v>1163</x:v>
      </x:c>
      <x:c r="B108" s="4" t="s">
        <x:v>841</x:v>
      </x:c>
      <x:c r="C108" s="20">
        <x:v>2.0</x:v>
      </x:c>
      <x:c r="D108" s="20"/>
      <x:c r="E108" s="4" t="s">
        <x:v>1118</x:v>
      </x:c>
    </x:row>
    <x:row r="109">
      <x:c r="A109" s="3" t="s">
        <x:v>1164</x:v>
      </x:c>
      <x:c r="B109" s="3" t="s">
        <x:v>841</x:v>
      </x:c>
      <x:c r="C109" s="19">
        <x:v>3.0</x:v>
      </x:c>
      <x:c r="D109" s="19"/>
      <x:c r="E109" s="3" t="s">
        <x:v>1165</x:v>
      </x:c>
    </x:row>
    <x:row r="110">
      <x:c r="A110" s="4" t="s">
        <x:v>1166</x:v>
      </x:c>
      <x:c r="B110" s="4" t="s">
        <x:v>841</x:v>
      </x:c>
      <x:c r="C110" s="20">
        <x:v>4.0</x:v>
      </x:c>
      <x:c r="D110" s="20"/>
      <x:c r="E110" s="4" t="s">
        <x:v>1167</x:v>
      </x:c>
    </x:row>
    <x:row r="111">
      <x:c r="A111" s="3" t="s">
        <x:v>1168</x:v>
      </x:c>
      <x:c r="B111" s="3" t="s">
        <x:v>841</x:v>
      </x:c>
      <x:c r="C111" s="19">
        <x:v>5.0</x:v>
      </x:c>
      <x:c r="D111" s="19"/>
      <x:c r="E111" s="3" t="s">
        <x:v>1169</x:v>
      </x:c>
    </x:row>
    <x:row r="112">
      <x:c r="A112" s="4" t="s">
        <x:v>1170</x:v>
      </x:c>
      <x:c r="B112" s="4" t="s">
        <x:v>843</x:v>
      </x:c>
      <x:c r="C112" s="20">
        <x:v>1.0</x:v>
      </x:c>
      <x:c r="D112" s="20"/>
      <x:c r="E112" s="4" t="s">
        <x:v>1171</x:v>
      </x:c>
    </x:row>
    <x:row r="113">
      <x:c r="A113" s="3" t="s">
        <x:v>1172</x:v>
      </x:c>
      <x:c r="B113" s="3" t="s">
        <x:v>843</x:v>
      </x:c>
      <x:c r="C113" s="19">
        <x:v>2.0</x:v>
      </x:c>
      <x:c r="D113" s="19"/>
      <x:c r="E113" s="3" t="s">
        <x:v>1173</x:v>
      </x:c>
    </x:row>
    <x:row r="114">
      <x:c r="A114" s="4" t="s">
        <x:v>1174</x:v>
      </x:c>
      <x:c r="B114" s="4" t="s">
        <x:v>843</x:v>
      </x:c>
      <x:c r="C114" s="20">
        <x:v>3.0</x:v>
      </x:c>
      <x:c r="D114" s="20"/>
      <x:c r="E114" s="4" t="s">
        <x:v>1175</x:v>
      </x:c>
    </x:row>
    <x:row r="115">
      <x:c r="A115" s="3" t="s">
        <x:v>1176</x:v>
      </x:c>
      <x:c r="B115" s="3" t="s">
        <x:v>843</x:v>
      </x:c>
      <x:c r="C115" s="19">
        <x:v>4.0</x:v>
      </x:c>
      <x:c r="D115" s="19"/>
      <x:c r="E115" s="3" t="s">
        <x:v>1177</x:v>
      </x:c>
    </x:row>
    <x:row r="116">
      <x:c r="A116" s="4" t="s">
        <x:v>1178</x:v>
      </x:c>
      <x:c r="B116" s="4" t="s">
        <x:v>843</x:v>
      </x:c>
      <x:c r="C116" s="20">
        <x:v>5.0</x:v>
      </x:c>
      <x:c r="D116" s="20"/>
      <x:c r="E116" s="4" t="s">
        <x:v>1179</x:v>
      </x:c>
    </x:row>
    <x:row r="117">
      <x:c r="A117" s="3" t="s">
        <x:v>1180</x:v>
      </x:c>
      <x:c r="B117" s="3" t="s">
        <x:v>843</x:v>
      </x:c>
      <x:c r="C117" s="19">
        <x:v>6.0</x:v>
      </x:c>
      <x:c r="D117" s="19"/>
      <x:c r="E117" s="3" t="s">
        <x:v>1181</x:v>
      </x:c>
    </x:row>
    <x:row r="118">
      <x:c r="A118" s="4" t="s">
        <x:v>1182</x:v>
      </x:c>
      <x:c r="B118" s="4" t="s">
        <x:v>843</x:v>
      </x:c>
      <x:c r="C118" s="20">
        <x:v>7.0</x:v>
      </x:c>
      <x:c r="D118" s="20"/>
      <x:c r="E118" s="4" t="s">
        <x:v>1183</x:v>
      </x:c>
    </x:row>
    <x:row r="119">
      <x:c r="A119" s="3" t="s">
        <x:v>1184</x:v>
      </x:c>
      <x:c r="B119" s="3" t="s">
        <x:v>845</x:v>
      </x:c>
      <x:c r="C119" s="19">
        <x:v>1.0</x:v>
      </x:c>
      <x:c r="D119" s="19"/>
      <x:c r="E119" s="3" t="s">
        <x:v>1185</x:v>
      </x:c>
    </x:row>
    <x:row r="120">
      <x:c r="A120" s="4" t="s">
        <x:v>1186</x:v>
      </x:c>
      <x:c r="B120" s="4" t="s">
        <x:v>845</x:v>
      </x:c>
      <x:c r="C120" s="20">
        <x:v>2.0</x:v>
      </x:c>
      <x:c r="D120" s="20"/>
      <x:c r="E120" s="4" t="s">
        <x:v>1187</x:v>
      </x:c>
    </x:row>
    <x:row r="121">
      <x:c r="A121" s="3" t="s">
        <x:v>1188</x:v>
      </x:c>
      <x:c r="B121" s="3" t="s">
        <x:v>845</x:v>
      </x:c>
      <x:c r="C121" s="19">
        <x:v>3.0</x:v>
      </x:c>
      <x:c r="D121" s="19"/>
      <x:c r="E121" s="3" t="s">
        <x:v>1189</x:v>
      </x:c>
    </x:row>
    <x:row r="122">
      <x:c r="A122" s="4" t="s">
        <x:v>1190</x:v>
      </x:c>
      <x:c r="B122" s="4" t="s">
        <x:v>845</x:v>
      </x:c>
      <x:c r="C122" s="20">
        <x:v>4.0</x:v>
      </x:c>
      <x:c r="D122" s="20"/>
      <x:c r="E122" s="4" t="s">
        <x:v>1191</x:v>
      </x:c>
    </x:row>
    <x:row r="123">
      <x:c r="A123" s="3" t="s">
        <x:v>1192</x:v>
      </x:c>
      <x:c r="B123" s="3" t="s">
        <x:v>845</x:v>
      </x:c>
      <x:c r="C123" s="19">
        <x:v>5.0</x:v>
      </x:c>
      <x:c r="D123" s="19"/>
      <x:c r="E123" s="3" t="s">
        <x:v>1193</x:v>
      </x:c>
    </x:row>
    <x:row r="124">
      <x:c r="A124" s="4" t="s">
        <x:v>1194</x:v>
      </x:c>
      <x:c r="B124" s="4" t="s">
        <x:v>845</x:v>
      </x:c>
      <x:c r="C124" s="20">
        <x:v>6.0</x:v>
      </x:c>
      <x:c r="D124" s="20"/>
      <x:c r="E124" s="4" t="s">
        <x:v>1195</x:v>
      </x:c>
    </x:row>
    <x:row r="125">
      <x:c r="A125" s="3" t="s">
        <x:v>1196</x:v>
      </x:c>
      <x:c r="B125" s="3" t="s">
        <x:v>847</x:v>
      </x:c>
      <x:c r="C125" s="19">
        <x:v>1.0</x:v>
      </x:c>
      <x:c r="D125" s="19"/>
      <x:c r="E125" s="3" t="s">
        <x:v>1197</x:v>
      </x:c>
    </x:row>
    <x:row r="126">
      <x:c r="A126" s="4" t="s">
        <x:v>1198</x:v>
      </x:c>
      <x:c r="B126" s="4" t="s">
        <x:v>847</x:v>
      </x:c>
      <x:c r="C126" s="20">
        <x:v>2.0</x:v>
      </x:c>
      <x:c r="D126" s="20"/>
      <x:c r="E126" s="4" t="s">
        <x:v>1199</x:v>
      </x:c>
    </x:row>
    <x:row r="127">
      <x:c r="A127" s="3" t="s">
        <x:v>1200</x:v>
      </x:c>
      <x:c r="B127" s="3" t="s">
        <x:v>847</x:v>
      </x:c>
      <x:c r="C127" s="19">
        <x:v>3.0</x:v>
      </x:c>
      <x:c r="D127" s="19"/>
      <x:c r="E127" s="3" t="s">
        <x:v>1201</x:v>
      </x:c>
    </x:row>
    <x:row r="128">
      <x:c r="A128" s="4" t="s">
        <x:v>1202</x:v>
      </x:c>
      <x:c r="B128" s="4" t="s">
        <x:v>847</x:v>
      </x:c>
      <x:c r="C128" s="20">
        <x:v>4.0</x:v>
      </x:c>
      <x:c r="D128" s="20"/>
      <x:c r="E128" s="4" t="s">
        <x:v>1203</x:v>
      </x:c>
    </x:row>
    <x:row r="129">
      <x:c r="A129" s="3" t="s">
        <x:v>1204</x:v>
      </x:c>
      <x:c r="B129" s="3" t="s">
        <x:v>849</x:v>
      </x:c>
      <x:c r="C129" s="19">
        <x:v>1.0</x:v>
      </x:c>
      <x:c r="D129" s="19"/>
      <x:c r="E129" s="3" t="s">
        <x:v>1197</x:v>
      </x:c>
    </x:row>
    <x:row r="130">
      <x:c r="A130" s="4" t="s">
        <x:v>1205</x:v>
      </x:c>
      <x:c r="B130" s="4" t="s">
        <x:v>849</x:v>
      </x:c>
      <x:c r="C130" s="20">
        <x:v>2.0</x:v>
      </x:c>
      <x:c r="D130" s="20"/>
      <x:c r="E130" s="4" t="s">
        <x:v>1206</x:v>
      </x:c>
    </x:row>
    <x:row r="131">
      <x:c r="A131" s="3" t="s">
        <x:v>1207</x:v>
      </x:c>
      <x:c r="B131" s="3" t="s">
        <x:v>849</x:v>
      </x:c>
      <x:c r="C131" s="19">
        <x:v>3.0</x:v>
      </x:c>
      <x:c r="D131" s="19"/>
      <x:c r="E131" s="3" t="s">
        <x:v>1208</x:v>
      </x:c>
    </x:row>
    <x:row r="132">
      <x:c r="A132" s="4" t="s">
        <x:v>1209</x:v>
      </x:c>
      <x:c r="B132" s="4" t="s">
        <x:v>849</x:v>
      </x:c>
      <x:c r="C132" s="20">
        <x:v>4.0</x:v>
      </x:c>
      <x:c r="D132" s="20"/>
      <x:c r="E132" s="4" t="s">
        <x:v>1203</x:v>
      </x:c>
    </x:row>
    <x:row r="133">
      <x:c r="A133" s="3" t="s">
        <x:v>1210</x:v>
      </x:c>
      <x:c r="B133" s="3" t="s">
        <x:v>851</x:v>
      </x:c>
      <x:c r="C133" s="19">
        <x:v>1.0</x:v>
      </x:c>
      <x:c r="D133" s="19"/>
      <x:c r="E133" s="3" t="s">
        <x:v>1197</x:v>
      </x:c>
    </x:row>
    <x:row r="134">
      <x:c r="A134" s="4" t="s">
        <x:v>1211</x:v>
      </x:c>
      <x:c r="B134" s="4" t="s">
        <x:v>851</x:v>
      </x:c>
      <x:c r="C134" s="20">
        <x:v>2.0</x:v>
      </x:c>
      <x:c r="D134" s="20"/>
      <x:c r="E134" s="4" t="s">
        <x:v>1212</x:v>
      </x:c>
    </x:row>
    <x:row r="135">
      <x:c r="A135" s="3" t="s">
        <x:v>1213</x:v>
      </x:c>
      <x:c r="B135" s="3" t="s">
        <x:v>851</x:v>
      </x:c>
      <x:c r="C135" s="19">
        <x:v>3.0</x:v>
      </x:c>
      <x:c r="D135" s="19"/>
      <x:c r="E135" s="3" t="s">
        <x:v>1208</x:v>
      </x:c>
    </x:row>
    <x:row r="136">
      <x:c r="A136" s="4" t="s">
        <x:v>1214</x:v>
      </x:c>
      <x:c r="B136" s="4" t="s">
        <x:v>851</x:v>
      </x:c>
      <x:c r="C136" s="20">
        <x:v>4.0</x:v>
      </x:c>
      <x:c r="D136" s="20"/>
      <x:c r="E136" s="4" t="s">
        <x:v>1203</x:v>
      </x:c>
    </x:row>
    <x:row r="137">
      <x:c r="A137" s="3" t="s">
        <x:v>1215</x:v>
      </x:c>
      <x:c r="B137" s="3" t="s">
        <x:v>853</x:v>
      </x:c>
      <x:c r="C137" s="19">
        <x:v>1.0</x:v>
      </x:c>
      <x:c r="D137" s="19"/>
      <x:c r="E137" s="3" t="s">
        <x:v>1216</x:v>
      </x:c>
    </x:row>
    <x:row r="138">
      <x:c r="A138" s="4" t="s">
        <x:v>1217</x:v>
      </x:c>
      <x:c r="B138" s="4" t="s">
        <x:v>853</x:v>
      </x:c>
      <x:c r="C138" s="20">
        <x:v>2.0</x:v>
      </x:c>
      <x:c r="D138" s="20"/>
      <x:c r="E138" s="4" t="s">
        <x:v>1218</x:v>
      </x:c>
    </x:row>
    <x:row r="139">
      <x:c r="A139" s="3" t="s">
        <x:v>1219</x:v>
      </x:c>
      <x:c r="B139" s="3" t="s">
        <x:v>853</x:v>
      </x:c>
      <x:c r="C139" s="19">
        <x:v>3.0</x:v>
      </x:c>
      <x:c r="D139" s="19"/>
      <x:c r="E139" s="3" t="s">
        <x:v>1220</x:v>
      </x:c>
    </x:row>
    <x:row r="140">
      <x:c r="A140" s="4" t="s">
        <x:v>1221</x:v>
      </x:c>
      <x:c r="B140" s="4" t="s">
        <x:v>853</x:v>
      </x:c>
      <x:c r="C140" s="20">
        <x:v>4.0</x:v>
      </x:c>
      <x:c r="D140" s="20"/>
      <x:c r="E140" s="4" t="s">
        <x:v>1222</x:v>
      </x:c>
    </x:row>
    <x:row r="141">
      <x:c r="A141" s="3" t="s">
        <x:v>1223</x:v>
      </x:c>
      <x:c r="B141" s="3" t="s">
        <x:v>853</x:v>
      </x:c>
      <x:c r="C141" s="19">
        <x:v>5.0</x:v>
      </x:c>
      <x:c r="D141" s="19"/>
      <x:c r="E141" s="3" t="s">
        <x:v>1224</x:v>
      </x:c>
    </x:row>
    <x:row r="142">
      <x:c r="A142" s="4" t="s">
        <x:v>1225</x:v>
      </x:c>
      <x:c r="B142" s="4" t="s">
        <x:v>855</x:v>
      </x:c>
      <x:c r="C142" s="20">
        <x:v>1.0</x:v>
      </x:c>
      <x:c r="D142" s="20"/>
      <x:c r="E142" s="4" t="s">
        <x:v>1226</x:v>
      </x:c>
    </x:row>
    <x:row r="143">
      <x:c r="A143" s="3" t="s">
        <x:v>1227</x:v>
      </x:c>
      <x:c r="B143" s="3" t="s">
        <x:v>855</x:v>
      </x:c>
      <x:c r="C143" s="19">
        <x:v>2.0</x:v>
      </x:c>
      <x:c r="D143" s="19"/>
      <x:c r="E143" s="3" t="s">
        <x:v>1228</x:v>
      </x:c>
    </x:row>
    <x:row r="144">
      <x:c r="A144" s="4" t="s">
        <x:v>1229</x:v>
      </x:c>
      <x:c r="B144" s="4" t="s">
        <x:v>855</x:v>
      </x:c>
      <x:c r="C144" s="20">
        <x:v>3.0</x:v>
      </x:c>
      <x:c r="D144" s="20"/>
      <x:c r="E144" s="4" t="s">
        <x:v>1230</x:v>
      </x:c>
    </x:row>
    <x:row r="145">
      <x:c r="A145" s="3" t="s">
        <x:v>1231</x:v>
      </x:c>
      <x:c r="B145" s="3" t="s">
        <x:v>855</x:v>
      </x:c>
      <x:c r="C145" s="19">
        <x:v>4.0</x:v>
      </x:c>
      <x:c r="D145" s="19"/>
      <x:c r="E145" s="3" t="s">
        <x:v>1232</x:v>
      </x:c>
    </x:row>
    <x:row r="146">
      <x:c r="A146" s="4" t="s">
        <x:v>1233</x:v>
      </x:c>
      <x:c r="B146" s="4" t="s">
        <x:v>855</x:v>
      </x:c>
      <x:c r="C146" s="20">
        <x:v>5.0</x:v>
      </x:c>
      <x:c r="D146" s="20"/>
      <x:c r="E146" s="4" t="s">
        <x:v>1234</x:v>
      </x:c>
    </x:row>
    <x:row r="147">
      <x:c r="A147" s="3" t="s">
        <x:v>1235</x:v>
      </x:c>
      <x:c r="B147" s="3" t="s">
        <x:v>855</x:v>
      </x:c>
      <x:c r="C147" s="19">
        <x:v>6.0</x:v>
      </x:c>
      <x:c r="D147" s="19"/>
      <x:c r="E147" s="3" t="s">
        <x:v>1236</x:v>
      </x:c>
    </x:row>
    <x:row r="148">
      <x:c r="A148" s="4" t="s">
        <x:v>1237</x:v>
      </x:c>
      <x:c r="B148" s="4" t="s">
        <x:v>857</x:v>
      </x:c>
      <x:c r="C148" s="20">
        <x:v>1.0</x:v>
      </x:c>
      <x:c r="D148" s="20"/>
      <x:c r="E148" s="4" t="s">
        <x:v>1238</x:v>
      </x:c>
    </x:row>
    <x:row r="149">
      <x:c r="A149" s="3" t="s">
        <x:v>1239</x:v>
      </x:c>
      <x:c r="B149" s="3" t="s">
        <x:v>857</x:v>
      </x:c>
      <x:c r="C149" s="19">
        <x:v>2.0</x:v>
      </x:c>
      <x:c r="D149" s="19"/>
      <x:c r="E149" s="3" t="s">
        <x:v>1240</x:v>
      </x:c>
    </x:row>
    <x:row r="150">
      <x:c r="A150" s="4" t="s">
        <x:v>1241</x:v>
      </x:c>
      <x:c r="B150" s="4" t="s">
        <x:v>857</x:v>
      </x:c>
      <x:c r="C150" s="20">
        <x:v>3.0</x:v>
      </x:c>
      <x:c r="D150" s="20"/>
      <x:c r="E150" s="4" t="s">
        <x:v>1242</x:v>
      </x:c>
    </x:row>
    <x:row r="151">
      <x:c r="A151" s="3" t="s">
        <x:v>1243</x:v>
      </x:c>
      <x:c r="B151" s="3" t="s">
        <x:v>857</x:v>
      </x:c>
      <x:c r="C151" s="19">
        <x:v>4.0</x:v>
      </x:c>
      <x:c r="D151" s="19"/>
      <x:c r="E151" s="3" t="s">
        <x:v>1244</x:v>
      </x:c>
    </x:row>
    <x:row r="152">
      <x:c r="A152" s="4" t="s">
        <x:v>1245</x:v>
      </x:c>
      <x:c r="B152" s="4" t="s">
        <x:v>859</x:v>
      </x:c>
      <x:c r="C152" s="20">
        <x:v>1.0</x:v>
      </x:c>
      <x:c r="D152" s="20"/>
      <x:c r="E152" s="4" t="s">
        <x:v>1238</x:v>
      </x:c>
    </x:row>
    <x:row r="153">
      <x:c r="A153" s="3" t="s">
        <x:v>1246</x:v>
      </x:c>
      <x:c r="B153" s="3" t="s">
        <x:v>859</x:v>
      </x:c>
      <x:c r="C153" s="19">
        <x:v>2.0</x:v>
      </x:c>
      <x:c r="D153" s="19"/>
      <x:c r="E153" s="3" t="s">
        <x:v>1247</x:v>
      </x:c>
    </x:row>
    <x:row r="154">
      <x:c r="A154" s="4" t="s">
        <x:v>1248</x:v>
      </x:c>
      <x:c r="B154" s="4" t="s">
        <x:v>859</x:v>
      </x:c>
      <x:c r="C154" s="20">
        <x:v>3.0</x:v>
      </x:c>
      <x:c r="D154" s="20"/>
      <x:c r="E154" s="4" t="s">
        <x:v>1201</x:v>
      </x:c>
    </x:row>
    <x:row r="155">
      <x:c r="A155" s="3" t="s">
        <x:v>1249</x:v>
      </x:c>
      <x:c r="B155" s="3" t="s">
        <x:v>859</x:v>
      </x:c>
      <x:c r="C155" s="19">
        <x:v>4.0</x:v>
      </x:c>
      <x:c r="D155" s="19"/>
      <x:c r="E155" s="3" t="s">
        <x:v>1250</x:v>
      </x:c>
    </x:row>
    <x:row r="156">
      <x:c r="A156" s="4" t="s">
        <x:v>1251</x:v>
      </x:c>
      <x:c r="B156" s="4" t="s">
        <x:v>861</x:v>
      </x:c>
      <x:c r="C156" s="20">
        <x:v>1.0</x:v>
      </x:c>
      <x:c r="D156" s="20"/>
      <x:c r="E156" s="4" t="s">
        <x:v>1238</x:v>
      </x:c>
    </x:row>
    <x:row r="157">
      <x:c r="A157" s="3" t="s">
        <x:v>1252</x:v>
      </x:c>
      <x:c r="B157" s="3" t="s">
        <x:v>861</x:v>
      </x:c>
      <x:c r="C157" s="19">
        <x:v>2.0</x:v>
      </x:c>
      <x:c r="D157" s="19"/>
      <x:c r="E157" s="3" t="s">
        <x:v>1253</x:v>
      </x:c>
    </x:row>
    <x:row r="158">
      <x:c r="A158" s="4" t="s">
        <x:v>1254</x:v>
      </x:c>
      <x:c r="B158" s="4" t="s">
        <x:v>861</x:v>
      </x:c>
      <x:c r="C158" s="20">
        <x:v>3.0</x:v>
      </x:c>
      <x:c r="D158" s="20"/>
      <x:c r="E158" s="4" t="s">
        <x:v>1255</x:v>
      </x:c>
    </x:row>
    <x:row r="159">
      <x:c r="A159" s="3" t="s">
        <x:v>1256</x:v>
      </x:c>
      <x:c r="B159" s="3" t="s">
        <x:v>863</x:v>
      </x:c>
      <x:c r="C159" s="19">
        <x:v>1.0</x:v>
      </x:c>
      <x:c r="D159" s="19"/>
      <x:c r="E159" s="3" t="s">
        <x:v>1257</x:v>
      </x:c>
    </x:row>
    <x:row r="160">
      <x:c r="A160" s="4" t="s">
        <x:v>1258</x:v>
      </x:c>
      <x:c r="B160" s="4" t="s">
        <x:v>863</x:v>
      </x:c>
      <x:c r="C160" s="20">
        <x:v>2.0</x:v>
      </x:c>
      <x:c r="D160" s="20"/>
      <x:c r="E160" s="4" t="s">
        <x:v>1259</x:v>
      </x:c>
    </x:row>
    <x:row r="161">
      <x:c r="A161" s="3" t="s">
        <x:v>1260</x:v>
      </x:c>
      <x:c r="B161" s="3" t="s">
        <x:v>863</x:v>
      </x:c>
      <x:c r="C161" s="19">
        <x:v>3.0</x:v>
      </x:c>
      <x:c r="D161" s="19"/>
      <x:c r="E161" s="3" t="s">
        <x:v>1261</x:v>
      </x:c>
    </x:row>
    <x:row r="162">
      <x:c r="A162" s="4" t="s">
        <x:v>1262</x:v>
      </x:c>
      <x:c r="B162" s="4" t="s">
        <x:v>863</x:v>
      </x:c>
      <x:c r="C162" s="20">
        <x:v>4.0</x:v>
      </x:c>
      <x:c r="D162" s="20"/>
      <x:c r="E162" s="4" t="s">
        <x:v>1263</x:v>
      </x:c>
    </x:row>
    <x:row r="163">
      <x:c r="A163" s="3" t="s">
        <x:v>1264</x:v>
      </x:c>
      <x:c r="B163" s="3" t="s">
        <x:v>863</x:v>
      </x:c>
      <x:c r="C163" s="19">
        <x:v>5.0</x:v>
      </x:c>
      <x:c r="D163" s="19"/>
      <x:c r="E163" s="3" t="s">
        <x:v>1265</x:v>
      </x:c>
    </x:row>
    <x:row r="164">
      <x:c r="A164" s="4" t="s">
        <x:v>1266</x:v>
      </x:c>
      <x:c r="B164" s="4" t="s">
        <x:v>865</x:v>
      </x:c>
      <x:c r="C164" s="20">
        <x:v>1.0</x:v>
      </x:c>
      <x:c r="D164" s="20"/>
      <x:c r="E164" s="4" t="s">
        <x:v>1267</x:v>
      </x:c>
    </x:row>
    <x:row r="165">
      <x:c r="A165" s="3" t="s">
        <x:v>1268</x:v>
      </x:c>
      <x:c r="B165" s="3" t="s">
        <x:v>865</x:v>
      </x:c>
      <x:c r="C165" s="19">
        <x:v>2.0</x:v>
      </x:c>
      <x:c r="D165" s="19"/>
      <x:c r="E165" s="3" t="s">
        <x:v>1269</x:v>
      </x:c>
    </x:row>
    <x:row r="166">
      <x:c r="A166" s="4" t="s">
        <x:v>1270</x:v>
      </x:c>
      <x:c r="B166" s="4" t="s">
        <x:v>865</x:v>
      </x:c>
      <x:c r="C166" s="20">
        <x:v>3.0</x:v>
      </x:c>
      <x:c r="D166" s="20"/>
      <x:c r="E166" s="4" t="s">
        <x:v>1271</x:v>
      </x:c>
    </x:row>
    <x:row r="167">
      <x:c r="A167" s="3" t="s">
        <x:v>1272</x:v>
      </x:c>
      <x:c r="B167" s="3" t="s">
        <x:v>865</x:v>
      </x:c>
      <x:c r="C167" s="19">
        <x:v>4.0</x:v>
      </x:c>
      <x:c r="D167" s="19"/>
      <x:c r="E167" s="3" t="s">
        <x:v>1273</x:v>
      </x:c>
    </x:row>
    <x:row r="168">
      <x:c r="A168" s="4" t="s">
        <x:v>1274</x:v>
      </x:c>
      <x:c r="B168" s="4" t="s">
        <x:v>865</x:v>
      </x:c>
      <x:c r="C168" s="20">
        <x:v>5.0</x:v>
      </x:c>
      <x:c r="D168" s="20"/>
      <x:c r="E168" s="4" t="s">
        <x:v>1275</x:v>
      </x:c>
    </x:row>
    <x:row r="169">
      <x:c r="A169" s="3" t="s">
        <x:v>1276</x:v>
      </x:c>
      <x:c r="B169" s="3" t="s">
        <x:v>867</x:v>
      </x:c>
      <x:c r="C169" s="19">
        <x:v>1.0</x:v>
      </x:c>
      <x:c r="D169" s="19"/>
      <x:c r="E169" s="3" t="s">
        <x:v>1277</x:v>
      </x:c>
    </x:row>
    <x:row r="170">
      <x:c r="A170" s="4" t="s">
        <x:v>1278</x:v>
      </x:c>
      <x:c r="B170" s="4" t="s">
        <x:v>867</x:v>
      </x:c>
      <x:c r="C170" s="20">
        <x:v>2.0</x:v>
      </x:c>
      <x:c r="D170" s="20"/>
      <x:c r="E170" s="4" t="s">
        <x:v>1279</x:v>
      </x:c>
    </x:row>
    <x:row r="171">
      <x:c r="A171" s="3" t="s">
        <x:v>1280</x:v>
      </x:c>
      <x:c r="B171" s="3" t="s">
        <x:v>867</x:v>
      </x:c>
      <x:c r="C171" s="19">
        <x:v>3.0</x:v>
      </x:c>
      <x:c r="D171" s="19"/>
      <x:c r="E171" s="3" t="s">
        <x:v>1281</x:v>
      </x:c>
    </x:row>
    <x:row r="172">
      <x:c r="A172" s="4" t="s">
        <x:v>1282</x:v>
      </x:c>
      <x:c r="B172" s="4" t="s">
        <x:v>867</x:v>
      </x:c>
      <x:c r="C172" s="20">
        <x:v>4.0</x:v>
      </x:c>
      <x:c r="D172" s="20"/>
      <x:c r="E172" s="4" t="s">
        <x:v>1283</x:v>
      </x:c>
    </x:row>
    <x:row r="173">
      <x:c r="A173" s="3" t="s">
        <x:v>1284</x:v>
      </x:c>
      <x:c r="B173" s="3" t="s">
        <x:v>867</x:v>
      </x:c>
      <x:c r="C173" s="19">
        <x:v>5.0</x:v>
      </x:c>
      <x:c r="D173" s="19"/>
      <x:c r="E173" s="3" t="s">
        <x:v>1285</x:v>
      </x:c>
    </x:row>
    <x:row r="174">
      <x:c r="A174" s="4" t="s">
        <x:v>1286</x:v>
      </x:c>
      <x:c r="B174" s="4" t="s">
        <x:v>869</x:v>
      </x:c>
      <x:c r="C174" s="20">
        <x:v>1.0</x:v>
      </x:c>
      <x:c r="D174" s="20"/>
      <x:c r="E174" s="4" t="s">
        <x:v>1287</x:v>
      </x:c>
    </x:row>
    <x:row r="175">
      <x:c r="A175" s="3" t="s">
        <x:v>1288</x:v>
      </x:c>
      <x:c r="B175" s="3" t="s">
        <x:v>869</x:v>
      </x:c>
      <x:c r="C175" s="19">
        <x:v>2.0</x:v>
      </x:c>
      <x:c r="D175" s="19"/>
      <x:c r="E175" s="3" t="s">
        <x:v>1289</x:v>
      </x:c>
    </x:row>
    <x:row r="176">
      <x:c r="A176" s="4" t="s">
        <x:v>1290</x:v>
      </x:c>
      <x:c r="B176" s="4" t="s">
        <x:v>869</x:v>
      </x:c>
      <x:c r="C176" s="20">
        <x:v>3.0</x:v>
      </x:c>
      <x:c r="D176" s="20"/>
      <x:c r="E176" s="4" t="s">
        <x:v>1291</x:v>
      </x:c>
    </x:row>
    <x:row r="177">
      <x:c r="A177" s="3" t="s">
        <x:v>1292</x:v>
      </x:c>
      <x:c r="B177" s="3" t="s">
        <x:v>869</x:v>
      </x:c>
      <x:c r="C177" s="19">
        <x:v>4.0</x:v>
      </x:c>
      <x:c r="D177" s="19"/>
      <x:c r="E177" s="3" t="s">
        <x:v>1293</x:v>
      </x:c>
    </x:row>
    <x:row r="178">
      <x:c r="A178" s="4" t="s">
        <x:v>1294</x:v>
      </x:c>
      <x:c r="B178" s="4" t="s">
        <x:v>869</x:v>
      </x:c>
      <x:c r="C178" s="20">
        <x:v>5.0</x:v>
      </x:c>
      <x:c r="D178" s="20"/>
      <x:c r="E178" s="4" t="s">
        <x:v>1295</x:v>
      </x:c>
    </x:row>
    <x:row r="179">
      <x:c r="A179" s="3" t="s">
        <x:v>1296</x:v>
      </x:c>
      <x:c r="B179" s="3" t="s">
        <x:v>871</x:v>
      </x:c>
      <x:c r="C179" s="19">
        <x:v>1.0</x:v>
      </x:c>
      <x:c r="D179" s="19"/>
      <x:c r="E179" s="3" t="s">
        <x:v>1297</x:v>
      </x:c>
    </x:row>
    <x:row r="180">
      <x:c r="A180" s="4" t="s">
        <x:v>1298</x:v>
      </x:c>
      <x:c r="B180" s="4" t="s">
        <x:v>871</x:v>
      </x:c>
      <x:c r="C180" s="20">
        <x:v>2.0</x:v>
      </x:c>
      <x:c r="D180" s="20"/>
      <x:c r="E180" s="4" t="s">
        <x:v>1299</x:v>
      </x:c>
    </x:row>
    <x:row r="181">
      <x:c r="A181" s="3" t="s">
        <x:v>1300</x:v>
      </x:c>
      <x:c r="B181" s="3" t="s">
        <x:v>871</x:v>
      </x:c>
      <x:c r="C181" s="19">
        <x:v>3.0</x:v>
      </x:c>
      <x:c r="D181" s="19"/>
      <x:c r="E181" s="3" t="s">
        <x:v>1301</x:v>
      </x:c>
    </x:row>
    <x:row r="182">
      <x:c r="A182" s="4" t="s">
        <x:v>1302</x:v>
      </x:c>
      <x:c r="B182" s="4" t="s">
        <x:v>871</x:v>
      </x:c>
      <x:c r="C182" s="20">
        <x:v>4.0</x:v>
      </x:c>
      <x:c r="D182" s="20"/>
      <x:c r="E182" s="4" t="s">
        <x:v>1303</x:v>
      </x:c>
    </x:row>
    <x:row r="183">
      <x:c r="A183" s="3" t="s">
        <x:v>1304</x:v>
      </x:c>
      <x:c r="B183" s="3" t="s">
        <x:v>871</x:v>
      </x:c>
      <x:c r="C183" s="19">
        <x:v>5.0</x:v>
      </x:c>
      <x:c r="D183" s="19"/>
      <x:c r="E183" s="3" t="s">
        <x:v>1305</x:v>
      </x:c>
    </x:row>
    <x:row r="184">
      <x:c r="A184" s="4" t="s">
        <x:v>1306</x:v>
      </x:c>
      <x:c r="B184" s="4" t="s">
        <x:v>873</x:v>
      </x:c>
      <x:c r="C184" s="20">
        <x:v>1.0</x:v>
      </x:c>
      <x:c r="D184" s="20"/>
      <x:c r="E184" s="4" t="s">
        <x:v>1297</x:v>
      </x:c>
    </x:row>
    <x:row r="185">
      <x:c r="A185" s="3" t="s">
        <x:v>1307</x:v>
      </x:c>
      <x:c r="B185" s="3" t="s">
        <x:v>873</x:v>
      </x:c>
      <x:c r="C185" s="19">
        <x:v>2.0</x:v>
      </x:c>
      <x:c r="D185" s="19"/>
      <x:c r="E185" s="3" t="s">
        <x:v>1308</x:v>
      </x:c>
    </x:row>
    <x:row r="186">
      <x:c r="A186" s="4" t="s">
        <x:v>1309</x:v>
      </x:c>
      <x:c r="B186" s="4" t="s">
        <x:v>873</x:v>
      </x:c>
      <x:c r="C186" s="20">
        <x:v>3.0</x:v>
      </x:c>
      <x:c r="D186" s="20"/>
      <x:c r="E186" s="4" t="s">
        <x:v>1301</x:v>
      </x:c>
    </x:row>
    <x:row r="187">
      <x:c r="A187" s="3" t="s">
        <x:v>1310</x:v>
      </x:c>
      <x:c r="B187" s="3" t="s">
        <x:v>873</x:v>
      </x:c>
      <x:c r="C187" s="19">
        <x:v>4.0</x:v>
      </x:c>
      <x:c r="D187" s="19"/>
      <x:c r="E187" s="3" t="s">
        <x:v>1303</x:v>
      </x:c>
    </x:row>
    <x:row r="188">
      <x:c r="A188" s="4" t="s">
        <x:v>1311</x:v>
      </x:c>
      <x:c r="B188" s="4" t="s">
        <x:v>873</x:v>
      </x:c>
      <x:c r="C188" s="20">
        <x:v>5.0</x:v>
      </x:c>
      <x:c r="D188" s="20"/>
      <x:c r="E188" s="4" t="s">
        <x:v>1305</x:v>
      </x:c>
    </x:row>
    <x:row r="189">
      <x:c r="A189" s="3" t="s">
        <x:v>1312</x:v>
      </x:c>
      <x:c r="B189" s="3" t="s">
        <x:v>875</x:v>
      </x:c>
      <x:c r="C189" s="19">
        <x:v>1.0</x:v>
      </x:c>
      <x:c r="D189" s="19"/>
      <x:c r="E189" s="3" t="s">
        <x:v>1313</x:v>
      </x:c>
    </x:row>
    <x:row r="190">
      <x:c r="A190" s="4" t="s">
        <x:v>1314</x:v>
      </x:c>
      <x:c r="B190" s="4" t="s">
        <x:v>875</x:v>
      </x:c>
      <x:c r="C190" s="20">
        <x:v>2.0</x:v>
      </x:c>
      <x:c r="D190" s="20"/>
      <x:c r="E190" s="4" t="s">
        <x:v>1315</x:v>
      </x:c>
    </x:row>
    <x:row r="191">
      <x:c r="A191" s="3" t="s">
        <x:v>1316</x:v>
      </x:c>
      <x:c r="B191" s="3" t="s">
        <x:v>875</x:v>
      </x:c>
      <x:c r="C191" s="19">
        <x:v>3.0</x:v>
      </x:c>
      <x:c r="D191" s="19"/>
      <x:c r="E191" s="3" t="s">
        <x:v>1317</x:v>
      </x:c>
    </x:row>
    <x:row r="192">
      <x:c r="A192" s="4" t="s">
        <x:v>1318</x:v>
      </x:c>
      <x:c r="B192" s="4" t="s">
        <x:v>875</x:v>
      </x:c>
      <x:c r="C192" s="20">
        <x:v>4.0</x:v>
      </x:c>
      <x:c r="D192" s="20"/>
      <x:c r="E192" s="4" t="s">
        <x:v>1319</x:v>
      </x:c>
    </x:row>
    <x:row r="193">
      <x:c r="A193" s="3" t="s">
        <x:v>1320</x:v>
      </x:c>
      <x:c r="B193" s="3" t="s">
        <x:v>875</x:v>
      </x:c>
      <x:c r="C193" s="19">
        <x:v>5.0</x:v>
      </x:c>
      <x:c r="D193" s="19"/>
      <x:c r="E193" s="3" t="s">
        <x:v>1321</x:v>
      </x:c>
    </x:row>
    <x:row r="194">
      <x:c r="A194" s="4" t="s">
        <x:v>1322</x:v>
      </x:c>
      <x:c r="B194" s="4" t="s">
        <x:v>877</x:v>
      </x:c>
      <x:c r="C194" s="20">
        <x:v>1.0</x:v>
      </x:c>
      <x:c r="D194" s="20"/>
      <x:c r="E194" s="4" t="s">
        <x:v>1323</x:v>
      </x:c>
    </x:row>
    <x:row r="195">
      <x:c r="A195" s="3" t="s">
        <x:v>1324</x:v>
      </x:c>
      <x:c r="B195" s="3" t="s">
        <x:v>877</x:v>
      </x:c>
      <x:c r="C195" s="19">
        <x:v>2.0</x:v>
      </x:c>
      <x:c r="D195" s="19"/>
      <x:c r="E195" s="3" t="s">
        <x:v>1317</x:v>
      </x:c>
    </x:row>
    <x:row r="196">
      <x:c r="A196" s="4" t="s">
        <x:v>1325</x:v>
      </x:c>
      <x:c r="B196" s="4" t="s">
        <x:v>877</x:v>
      </x:c>
      <x:c r="C196" s="20">
        <x:v>3.0</x:v>
      </x:c>
      <x:c r="D196" s="20"/>
      <x:c r="E196" s="4" t="s">
        <x:v>1326</x:v>
      </x:c>
    </x:row>
    <x:row r="197">
      <x:c r="A197" s="3" t="s">
        <x:v>1327</x:v>
      </x:c>
      <x:c r="B197" s="3" t="s">
        <x:v>877</x:v>
      </x:c>
      <x:c r="C197" s="19">
        <x:v>4.0</x:v>
      </x:c>
      <x:c r="D197" s="19"/>
      <x:c r="E197" s="3" t="s">
        <x:v>1328</x:v>
      </x:c>
    </x:row>
    <x:row r="198">
      <x:c r="A198" s="4" t="s">
        <x:v>1329</x:v>
      </x:c>
      <x:c r="B198" s="4" t="s">
        <x:v>879</x:v>
      </x:c>
      <x:c r="C198" s="20">
        <x:v>1.0</x:v>
      </x:c>
      <x:c r="D198" s="20"/>
      <x:c r="E198" s="4" t="s">
        <x:v>1330</x:v>
      </x:c>
    </x:row>
    <x:row r="199">
      <x:c r="A199" s="3" t="s">
        <x:v>1331</x:v>
      </x:c>
      <x:c r="B199" s="3" t="s">
        <x:v>879</x:v>
      </x:c>
      <x:c r="C199" s="19">
        <x:v>2.0</x:v>
      </x:c>
      <x:c r="D199" s="19"/>
      <x:c r="E199" s="3" t="s">
        <x:v>1332</x:v>
      </x:c>
    </x:row>
    <x:row r="200">
      <x:c r="A200" s="4" t="s">
        <x:v>1333</x:v>
      </x:c>
      <x:c r="B200" s="4" t="s">
        <x:v>879</x:v>
      </x:c>
      <x:c r="C200" s="20">
        <x:v>3.0</x:v>
      </x:c>
      <x:c r="D200" s="20"/>
      <x:c r="E200" s="4" t="s">
        <x:v>1334</x:v>
      </x:c>
    </x:row>
    <x:row r="201">
      <x:c r="A201" s="3" t="s">
        <x:v>1335</x:v>
      </x:c>
      <x:c r="B201" s="3" t="s">
        <x:v>879</x:v>
      </x:c>
      <x:c r="C201" s="19">
        <x:v>4.0</x:v>
      </x:c>
      <x:c r="D201" s="19"/>
      <x:c r="E201" s="3" t="s">
        <x:v>1336</x:v>
      </x:c>
    </x:row>
    <x:row r="202">
      <x:c r="A202" s="4" t="s">
        <x:v>1337</x:v>
      </x:c>
      <x:c r="B202" s="4" t="s">
        <x:v>879</x:v>
      </x:c>
      <x:c r="C202" s="20">
        <x:v>5.0</x:v>
      </x:c>
      <x:c r="D202" s="20"/>
      <x:c r="E202" s="4" t="s">
        <x:v>1338</x:v>
      </x:c>
    </x:row>
    <x:row r="203">
      <x:c r="A203" s="3" t="s">
        <x:v>1339</x:v>
      </x:c>
      <x:c r="B203" s="3" t="s">
        <x:v>881</x:v>
      </x:c>
      <x:c r="C203" s="19">
        <x:v>1.0</x:v>
      </x:c>
      <x:c r="D203" s="19"/>
      <x:c r="E203" s="3" t="s">
        <x:v>1340</x:v>
      </x:c>
    </x:row>
    <x:row r="204">
      <x:c r="A204" s="4" t="s">
        <x:v>1341</x:v>
      </x:c>
      <x:c r="B204" s="4" t="s">
        <x:v>881</x:v>
      </x:c>
      <x:c r="C204" s="20">
        <x:v>2.0</x:v>
      </x:c>
      <x:c r="D204" s="20"/>
      <x:c r="E204" s="4" t="s">
        <x:v>1342</x:v>
      </x:c>
    </x:row>
    <x:row r="205">
      <x:c r="A205" s="3" t="s">
        <x:v>1343</x:v>
      </x:c>
      <x:c r="B205" s="3" t="s">
        <x:v>881</x:v>
      </x:c>
      <x:c r="C205" s="19">
        <x:v>3.0</x:v>
      </x:c>
      <x:c r="D205" s="19"/>
      <x:c r="E205" s="3" t="s">
        <x:v>1317</x:v>
      </x:c>
    </x:row>
    <x:row r="206">
      <x:c r="A206" s="4" t="s">
        <x:v>1344</x:v>
      </x:c>
      <x:c r="B206" s="4" t="s">
        <x:v>881</x:v>
      </x:c>
      <x:c r="C206" s="20">
        <x:v>4.0</x:v>
      </x:c>
      <x:c r="D206" s="20"/>
      <x:c r="E206" s="4" t="s">
        <x:v>1345</x:v>
      </x:c>
    </x:row>
    <x:row r="207">
      <x:c r="A207" s="3" t="s">
        <x:v>1346</x:v>
      </x:c>
      <x:c r="B207" s="3" t="s">
        <x:v>881</x:v>
      </x:c>
      <x:c r="C207" s="19">
        <x:v>5.0</x:v>
      </x:c>
      <x:c r="D207" s="19"/>
      <x:c r="E207" s="3" t="s">
        <x:v>1347</x:v>
      </x:c>
    </x:row>
    <x:row r="208">
      <x:c r="A208" s="1" t="s">
        <x:v>1348</x:v>
      </x:c>
      <x:c r="B208" s="1" t="s">
        <x:v>912</x:v>
      </x:c>
      <x:c r="C208" s="1">
        <x:v>1.0</x:v>
      </x:c>
      <x:c r="D208" s="1"/>
      <x:c r="E208" s="1" t="s">
        <x:v>1349</x:v>
      </x:c>
    </x:row>
    <x:row r="209">
      <x:c r="A209" s="1" t="s">
        <x:v>1350</x:v>
      </x:c>
      <x:c r="B209" s="1" t="s">
        <x:v>912</x:v>
      </x:c>
      <x:c r="C209" s="1">
        <x:v>2.0</x:v>
      </x:c>
      <x:c r="D209" s="1"/>
      <x:c r="E209" s="1" t="s">
        <x:v>1351</x:v>
      </x:c>
    </x:row>
    <x:row r="210">
      <x:c r="A210" s="1" t="s">
        <x:v>1352</x:v>
      </x:c>
      <x:c r="B210" s="1" t="s">
        <x:v>912</x:v>
      </x:c>
      <x:c r="C210" s="1">
        <x:v>3.0</x:v>
      </x:c>
      <x:c r="D210" s="1"/>
      <x:c r="E210" s="1" t="s">
        <x:v>1353</x:v>
      </x:c>
    </x:row>
    <x:row r="211">
      <x:c r="A211" s="1" t="s">
        <x:v>1354</x:v>
      </x:c>
      <x:c r="B211" s="1" t="s">
        <x:v>912</x:v>
      </x:c>
      <x:c r="C211" s="1">
        <x:v>4.0</x:v>
      </x:c>
      <x:c r="D211" s="1"/>
      <x:c r="E211" s="1" t="s">
        <x:v>1355</x:v>
      </x:c>
    </x:row>
    <x:row r="212">
      <x:c r="A212" s="1" t="s">
        <x:v>1356</x:v>
      </x:c>
      <x:c r="B212" s="1" t="s">
        <x:v>912</x:v>
      </x:c>
      <x:c r="C212" s="1">
        <x:v>5.0</x:v>
      </x:c>
      <x:c r="D212" s="1"/>
      <x:c r="E212" s="1" t="s">
        <x:v>1357</x:v>
      </x:c>
    </x:row>
    <x:row r="213">
      <x:c r="A213" s="1" t="s">
        <x:v>1358</x:v>
      </x:c>
      <x:c r="B213" s="1" t="s">
        <x:v>916</x:v>
      </x:c>
      <x:c r="C213" s="1">
        <x:v>1.0</x:v>
      </x:c>
      <x:c r="D213" s="1"/>
      <x:c r="E213" s="1" t="s">
        <x:v>1359</x:v>
      </x:c>
    </x:row>
    <x:row r="214">
      <x:c r="A214" s="1" t="s">
        <x:v>1360</x:v>
      </x:c>
      <x:c r="B214" s="1" t="s">
        <x:v>916</x:v>
      </x:c>
      <x:c r="C214" s="1">
        <x:v>2.0</x:v>
      </x:c>
      <x:c r="D214" s="1"/>
      <x:c r="E214" s="1" t="s">
        <x:v>1361</x:v>
      </x:c>
    </x:row>
    <x:row r="215">
      <x:c r="A215" s="1" t="s">
        <x:v>1362</x:v>
      </x:c>
      <x:c r="B215" s="1" t="s">
        <x:v>916</x:v>
      </x:c>
      <x:c r="C215" s="1">
        <x:v>3.0</x:v>
      </x:c>
      <x:c r="D215" s="1"/>
      <x:c r="E215" s="1" t="s">
        <x:v>1363</x:v>
      </x:c>
    </x:row>
    <x:row r="216">
      <x:c r="A216" s="1" t="s">
        <x:v>1364</x:v>
      </x:c>
      <x:c r="B216" s="1" t="s">
        <x:v>916</x:v>
      </x:c>
      <x:c r="C216" s="1">
        <x:v>4.0</x:v>
      </x:c>
      <x:c r="D216" s="1"/>
      <x:c r="E216" s="1" t="s">
        <x:v>1365</x:v>
      </x:c>
    </x:row>
    <x:row r="217">
      <x:c r="A217" s="1" t="s">
        <x:v>1366</x:v>
      </x:c>
      <x:c r="B217" s="1" t="s">
        <x:v>916</x:v>
      </x:c>
      <x:c r="C217" s="1">
        <x:v>5.0</x:v>
      </x:c>
      <x:c r="D217" s="1"/>
      <x:c r="E217" s="1" t="s">
        <x:v>1367</x:v>
      </x:c>
    </x:row>
    <x:row r="218">
      <x:c r="A218" s="1" t="s">
        <x:v>1368</x:v>
      </x:c>
      <x:c r="B218" s="1" t="s">
        <x:v>918</x:v>
      </x:c>
      <x:c r="C218" s="1">
        <x:v>1.0</x:v>
      </x:c>
      <x:c r="D218" s="1"/>
      <x:c r="E218" s="1" t="s">
        <x:v>1369</x:v>
      </x:c>
    </x:row>
    <x:row r="219">
      <x:c r="A219" s="1" t="s">
        <x:v>1370</x:v>
      </x:c>
      <x:c r="B219" s="1" t="s">
        <x:v>918</x:v>
      </x:c>
      <x:c r="C219" s="1">
        <x:v>2.0</x:v>
      </x:c>
      <x:c r="D219" s="1"/>
      <x:c r="E219" s="1" t="s">
        <x:v>1371</x:v>
      </x:c>
    </x:row>
    <x:row r="220">
      <x:c r="A220" s="1" t="s">
        <x:v>1372</x:v>
      </x:c>
      <x:c r="B220" s="1" t="s">
        <x:v>918</x:v>
      </x:c>
      <x:c r="C220" s="1">
        <x:v>3.0</x:v>
      </x:c>
      <x:c r="D220" s="1"/>
      <x:c r="E220" s="1" t="s">
        <x:v>1373</x:v>
      </x:c>
    </x:row>
    <x:row r="221">
      <x:c r="A221" s="1" t="s">
        <x:v>1374</x:v>
      </x:c>
      <x:c r="B221" s="1" t="s">
        <x:v>918</x:v>
      </x:c>
      <x:c r="C221" s="1">
        <x:v>4.0</x:v>
      </x:c>
      <x:c r="D221" s="1"/>
      <x:c r="E221" s="1" t="s">
        <x:v>1375</x:v>
      </x:c>
    </x:row>
    <x:row r="222">
      <x:c r="A222" s="1" t="s">
        <x:v>1376</x:v>
      </x:c>
      <x:c r="B222" s="1" t="s">
        <x:v>918</x:v>
      </x:c>
      <x:c r="C222" s="1">
        <x:v>5.0</x:v>
      </x:c>
      <x:c r="D222" s="1"/>
      <x:c r="E222" s="1" t="s">
        <x:v>1377</x:v>
      </x:c>
    </x:row>
    <x:row r="223">
      <x:c r="A223" s="1" t="s">
        <x:v>1378</x:v>
      </x:c>
      <x:c r="B223" s="1" t="s">
        <x:v>920</x:v>
      </x:c>
      <x:c r="C223" s="1">
        <x:v>1.0</x:v>
      </x:c>
      <x:c r="D223" s="1"/>
      <x:c r="E223" s="1" t="s">
        <x:v>1379</x:v>
      </x:c>
    </x:row>
    <x:row r="224">
      <x:c r="A224" s="1" t="s">
        <x:v>1380</x:v>
      </x:c>
      <x:c r="B224" s="1" t="s">
        <x:v>920</x:v>
      </x:c>
      <x:c r="C224" s="1">
        <x:v>2.0</x:v>
      </x:c>
      <x:c r="D224" s="1"/>
      <x:c r="E224" s="1" t="s">
        <x:v>1381</x:v>
      </x:c>
    </x:row>
    <x:row r="225">
      <x:c r="A225" s="1" t="s">
        <x:v>1382</x:v>
      </x:c>
      <x:c r="B225" s="1" t="s">
        <x:v>920</x:v>
      </x:c>
      <x:c r="C225" s="1">
        <x:v>3.0</x:v>
      </x:c>
      <x:c r="D225" s="1"/>
      <x:c r="E225" s="1" t="s">
        <x:v>1383</x:v>
      </x:c>
    </x:row>
    <x:row r="226">
      <x:c r="A226" s="1" t="s">
        <x:v>1384</x:v>
      </x:c>
      <x:c r="B226" s="1" t="s">
        <x:v>920</x:v>
      </x:c>
      <x:c r="C226" s="1">
        <x:v>4.0</x:v>
      </x:c>
      <x:c r="D226" s="1"/>
      <x:c r="E226" s="1" t="s">
        <x:v>1385</x:v>
      </x:c>
    </x:row>
    <x:row r="227">
      <x:c r="A227" s="1" t="s">
        <x:v>1386</x:v>
      </x:c>
      <x:c r="B227" s="1" t="s">
        <x:v>920</x:v>
      </x:c>
      <x:c r="C227" s="1">
        <x:v>5.0</x:v>
      </x:c>
      <x:c r="D227" s="1"/>
      <x:c r="E227" s="1" t="s">
        <x:v>1387</x:v>
      </x:c>
    </x:row>
    <x:row r="228">
      <x:c r="A228" s="1" t="s">
        <x:v>1388</x:v>
      </x:c>
      <x:c r="B228" s="1" t="s">
        <x:v>922</x:v>
      </x:c>
      <x:c r="C228" s="1">
        <x:v>1.0</x:v>
      </x:c>
      <x:c r="D228" s="1"/>
      <x:c r="E228" s="1" t="s">
        <x:v>1389</x:v>
      </x:c>
    </x:row>
    <x:row r="229">
      <x:c r="A229" s="1" t="s">
        <x:v>1390</x:v>
      </x:c>
      <x:c r="B229" s="1" t="s">
        <x:v>922</x:v>
      </x:c>
      <x:c r="C229" s="1">
        <x:v>2.0</x:v>
      </x:c>
      <x:c r="D229" s="1"/>
      <x:c r="E229" s="1" t="s">
        <x:v>1391</x:v>
      </x:c>
    </x:row>
    <x:row r="230">
      <x:c r="A230" s="1" t="s">
        <x:v>1392</x:v>
      </x:c>
      <x:c r="B230" s="1" t="s">
        <x:v>922</x:v>
      </x:c>
      <x:c r="C230" s="1">
        <x:v>3.0</x:v>
      </x:c>
      <x:c r="D230" s="1"/>
      <x:c r="E230" s="1" t="s">
        <x:v>1393</x:v>
      </x:c>
    </x:row>
    <x:row r="231">
      <x:c r="A231" s="1" t="s">
        <x:v>1394</x:v>
      </x:c>
      <x:c r="B231" s="1" t="s">
        <x:v>922</x:v>
      </x:c>
      <x:c r="C231" s="1">
        <x:v>4.0</x:v>
      </x:c>
      <x:c r="D231" s="1"/>
      <x:c r="E231" s="1" t="s">
        <x:v>1395</x:v>
      </x:c>
    </x:row>
    <x:row r="232">
      <x:c r="A232" s="1" t="s">
        <x:v>1396</x:v>
      </x:c>
      <x:c r="B232" s="1" t="s">
        <x:v>922</x:v>
      </x:c>
      <x:c r="C232" s="1">
        <x:v>5.0</x:v>
      </x:c>
      <x:c r="D232" s="1"/>
      <x:c r="E232" s="1" t="s">
        <x:v>1377</x:v>
      </x:c>
    </x:row>
    <x:row r="233">
      <x:c r="A233" s="1" t="s">
        <x:v>1397</x:v>
      </x:c>
      <x:c r="B233" s="1" t="s">
        <x:v>924</x:v>
      </x:c>
      <x:c r="C233" s="1">
        <x:v>1.0</x:v>
      </x:c>
      <x:c r="D233" s="1"/>
      <x:c r="E233" s="1" t="s">
        <x:v>1398</x:v>
      </x:c>
    </x:row>
    <x:row r="234">
      <x:c r="A234" s="1" t="s">
        <x:v>1399</x:v>
      </x:c>
      <x:c r="B234" s="1" t="s">
        <x:v>924</x:v>
      </x:c>
      <x:c r="C234" s="1">
        <x:v>2.0</x:v>
      </x:c>
      <x:c r="D234" s="1"/>
      <x:c r="E234" s="1" t="s">
        <x:v>1400</x:v>
      </x:c>
    </x:row>
    <x:row r="235">
      <x:c r="A235" s="1" t="s">
        <x:v>1401</x:v>
      </x:c>
      <x:c r="B235" s="1" t="s">
        <x:v>924</x:v>
      </x:c>
      <x:c r="C235" s="1">
        <x:v>3.0</x:v>
      </x:c>
      <x:c r="D235" s="1"/>
      <x:c r="E235" s="1" t="s">
        <x:v>1402</x:v>
      </x:c>
    </x:row>
    <x:row r="236">
      <x:c r="A236" s="1" t="s">
        <x:v>1403</x:v>
      </x:c>
      <x:c r="B236" s="1" t="s">
        <x:v>924</x:v>
      </x:c>
      <x:c r="C236" s="1">
        <x:v>4.0</x:v>
      </x:c>
      <x:c r="D236" s="1"/>
      <x:c r="E236" s="1" t="s">
        <x:v>1404</x:v>
      </x:c>
    </x:row>
    <x:row r="237">
      <x:c r="A237" s="1" t="s">
        <x:v>1405</x:v>
      </x:c>
      <x:c r="B237" s="1" t="s">
        <x:v>924</x:v>
      </x:c>
      <x:c r="C237" s="1">
        <x:v>5.0</x:v>
      </x:c>
      <x:c r="D237" s="1"/>
      <x:c r="E237" s="1" t="s">
        <x:v>1406</x:v>
      </x:c>
    </x:row>
    <x:row r="238">
      <x:c r="A238" s="1" t="s">
        <x:v>1407</x:v>
      </x:c>
      <x:c r="B238" s="1" t="s">
        <x:v>926</x:v>
      </x:c>
      <x:c r="C238" s="1">
        <x:v>1.0</x:v>
      </x:c>
      <x:c r="D238" s="1"/>
      <x:c r="E238" s="1" t="s">
        <x:v>1408</x:v>
      </x:c>
    </x:row>
    <x:row r="239">
      <x:c r="A239" s="1" t="s">
        <x:v>1409</x:v>
      </x:c>
      <x:c r="B239" s="1" t="s">
        <x:v>926</x:v>
      </x:c>
      <x:c r="C239" s="1">
        <x:v>2.0</x:v>
      </x:c>
      <x:c r="D239" s="1"/>
      <x:c r="E239" s="1" t="s">
        <x:v>1410</x:v>
      </x:c>
    </x:row>
    <x:row r="240">
      <x:c r="A240" s="1" t="s">
        <x:v>1411</x:v>
      </x:c>
      <x:c r="B240" s="1" t="s">
        <x:v>926</x:v>
      </x:c>
      <x:c r="C240" s="1">
        <x:v>3.0</x:v>
      </x:c>
      <x:c r="D240" s="1"/>
      <x:c r="E240" s="1" t="s">
        <x:v>1412</x:v>
      </x:c>
    </x:row>
    <x:row r="241">
      <x:c r="A241" s="1" t="s">
        <x:v>1413</x:v>
      </x:c>
      <x:c r="B241" s="1" t="s">
        <x:v>926</x:v>
      </x:c>
      <x:c r="C241" s="1">
        <x:v>4.0</x:v>
      </x:c>
      <x:c r="D241" s="1"/>
      <x:c r="E241" s="1" t="s">
        <x:v>1414</x:v>
      </x:c>
    </x:row>
    <x:row r="242">
      <x:c r="A242" s="1" t="s">
        <x:v>1415</x:v>
      </x:c>
      <x:c r="B242" s="1" t="s">
        <x:v>926</x:v>
      </x:c>
      <x:c r="C242" s="1">
        <x:v>5.0</x:v>
      </x:c>
      <x:c r="D242" s="1"/>
      <x:c r="E242" s="1" t="s">
        <x:v>1416</x:v>
      </x:c>
    </x:row>
    <x:row r="243">
      <x:c r="A243" s="1" t="s">
        <x:v>1417</x:v>
      </x:c>
      <x:c r="B243" s="1" t="s">
        <x:v>928</x:v>
      </x:c>
      <x:c r="C243" s="1">
        <x:v>1.0</x:v>
      </x:c>
      <x:c r="D243" s="1"/>
      <x:c r="E243" s="1" t="s">
        <x:v>1398</x:v>
      </x:c>
    </x:row>
    <x:row r="244">
      <x:c r="A244" s="1" t="s">
        <x:v>1418</x:v>
      </x:c>
      <x:c r="B244" s="1" t="s">
        <x:v>928</x:v>
      </x:c>
      <x:c r="C244" s="1">
        <x:v>2.0</x:v>
      </x:c>
      <x:c r="D244" s="1"/>
      <x:c r="E244" s="1" t="s">
        <x:v>1419</x:v>
      </x:c>
    </x:row>
    <x:row r="245">
      <x:c r="A245" s="1" t="s">
        <x:v>1420</x:v>
      </x:c>
      <x:c r="B245" s="1" t="s">
        <x:v>928</x:v>
      </x:c>
      <x:c r="C245" s="1">
        <x:v>3.0</x:v>
      </x:c>
      <x:c r="D245" s="1"/>
      <x:c r="E245" s="1" t="s">
        <x:v>1421</x:v>
      </x:c>
    </x:row>
    <x:row r="246">
      <x:c r="A246" s="1" t="s">
        <x:v>1422</x:v>
      </x:c>
      <x:c r="B246" s="1" t="s">
        <x:v>928</x:v>
      </x:c>
      <x:c r="C246" s="1">
        <x:v>4.0</x:v>
      </x:c>
      <x:c r="D246" s="1"/>
      <x:c r="E246" s="1" t="s">
        <x:v>1423</x:v>
      </x:c>
    </x:row>
    <x:row r="247">
      <x:c r="A247" s="1" t="s">
        <x:v>1424</x:v>
      </x:c>
      <x:c r="B247" s="1" t="s">
        <x:v>928</x:v>
      </x:c>
      <x:c r="C247" s="1">
        <x:v>5.0</x:v>
      </x:c>
      <x:c r="D247" s="1"/>
      <x:c r="E247" s="1" t="s">
        <x:v>1425</x:v>
      </x:c>
    </x:row>
    <x:row r="248">
      <x:c r="A248" s="1" t="s">
        <x:v>1426</x:v>
      </x:c>
      <x:c r="B248" s="1" t="s">
        <x:v>930</x:v>
      </x:c>
      <x:c r="C248" s="1">
        <x:v>1.0</x:v>
      </x:c>
      <x:c r="D248" s="1"/>
      <x:c r="E248" s="1" t="s">
        <x:v>1427</x:v>
      </x:c>
    </x:row>
    <x:row r="249">
      <x:c r="A249" s="1" t="s">
        <x:v>1428</x:v>
      </x:c>
      <x:c r="B249" s="1" t="s">
        <x:v>930</x:v>
      </x:c>
      <x:c r="C249" s="1">
        <x:v>2.0</x:v>
      </x:c>
      <x:c r="D249" s="1"/>
      <x:c r="E249" s="1" t="s">
        <x:v>1429</x:v>
      </x:c>
    </x:row>
    <x:row r="250">
      <x:c r="A250" s="1" t="s">
        <x:v>1430</x:v>
      </x:c>
      <x:c r="B250" s="1" t="s">
        <x:v>930</x:v>
      </x:c>
      <x:c r="C250" s="1">
        <x:v>3.0</x:v>
      </x:c>
      <x:c r="D250" s="1"/>
      <x:c r="E250" s="1" t="s">
        <x:v>1431</x:v>
      </x:c>
    </x:row>
    <x:row r="251">
      <x:c r="A251" s="1" t="s">
        <x:v>1432</x:v>
      </x:c>
      <x:c r="B251" s="1" t="s">
        <x:v>930</x:v>
      </x:c>
      <x:c r="C251" s="1">
        <x:v>4.0</x:v>
      </x:c>
      <x:c r="D251" s="1"/>
      <x:c r="E251" s="1" t="s">
        <x:v>1433</x:v>
      </x:c>
    </x:row>
    <x:row r="252">
      <x:c r="A252" s="1" t="s">
        <x:v>1434</x:v>
      </x:c>
      <x:c r="B252" s="1" t="s">
        <x:v>930</x:v>
      </x:c>
      <x:c r="C252" s="1">
        <x:v>5.0</x:v>
      </x:c>
      <x:c r="D252" s="1"/>
      <x:c r="E252" s="1" t="s">
        <x:v>1435</x:v>
      </x:c>
    </x:row>
    <x:row r="253">
      <x:c r="A253" s="1" t="s">
        <x:v>1436</x:v>
      </x:c>
      <x:c r="B253" s="1" t="s">
        <x:v>932</x:v>
      </x:c>
      <x:c r="C253" s="1">
        <x:v>1.0</x:v>
      </x:c>
      <x:c r="D253" s="1"/>
      <x:c r="E253" s="1" t="s">
        <x:v>1437</x:v>
      </x:c>
    </x:row>
    <x:row r="254">
      <x:c r="A254" s="1" t="s">
        <x:v>1438</x:v>
      </x:c>
      <x:c r="B254" s="1" t="s">
        <x:v>932</x:v>
      </x:c>
      <x:c r="C254" s="1">
        <x:v>2.0</x:v>
      </x:c>
      <x:c r="D254" s="1"/>
      <x:c r="E254" s="1" t="s">
        <x:v>1439</x:v>
      </x:c>
    </x:row>
    <x:row r="255">
      <x:c r="A255" s="1" t="s">
        <x:v>1440</x:v>
      </x:c>
      <x:c r="B255" s="1" t="s">
        <x:v>932</x:v>
      </x:c>
      <x:c r="C255" s="1">
        <x:v>3.0</x:v>
      </x:c>
      <x:c r="D255" s="1"/>
      <x:c r="E255" s="1" t="s">
        <x:v>1441</x:v>
      </x:c>
    </x:row>
    <x:row r="256">
      <x:c r="A256" s="1" t="s">
        <x:v>1442</x:v>
      </x:c>
      <x:c r="B256" s="1" t="s">
        <x:v>932</x:v>
      </x:c>
      <x:c r="C256" s="1">
        <x:v>4.0</x:v>
      </x:c>
      <x:c r="D256" s="1"/>
      <x:c r="E256" s="1" t="s">
        <x:v>1443</x:v>
      </x:c>
    </x:row>
    <x:row r="257">
      <x:c r="A257" s="1" t="s">
        <x:v>1444</x:v>
      </x:c>
      <x:c r="B257" s="1" t="s">
        <x:v>932</x:v>
      </x:c>
      <x:c r="C257" s="1">
        <x:v>5.0</x:v>
      </x:c>
      <x:c r="D257" s="1"/>
      <x:c r="E257" s="1" t="s">
        <x:v>1445</x:v>
      </x:c>
    </x:row>
    <x:row r="258">
      <x:c r="A258" s="1" t="s">
        <x:v>1446</x:v>
      </x:c>
      <x:c r="B258" s="1" t="s">
        <x:v>934</x:v>
      </x:c>
      <x:c r="C258" s="1">
        <x:v>1.0</x:v>
      </x:c>
      <x:c r="D258" s="1"/>
      <x:c r="E258" s="1" t="s">
        <x:v>1447</x:v>
      </x:c>
    </x:row>
    <x:row r="259">
      <x:c r="A259" s="1" t="s">
        <x:v>1448</x:v>
      </x:c>
      <x:c r="B259" s="1" t="s">
        <x:v>936</x:v>
      </x:c>
      <x:c r="C259" s="1">
        <x:v>1.0</x:v>
      </x:c>
      <x:c r="D259" s="1"/>
      <x:c r="E259" s="1" t="s">
        <x:v>1449</x:v>
      </x:c>
    </x:row>
    <x:row r="260">
      <x:c r="A260" s="1" t="s">
        <x:v>1450</x:v>
      </x:c>
      <x:c r="B260" s="1" t="s">
        <x:v>936</x:v>
      </x:c>
      <x:c r="C260" s="1">
        <x:v>2.0</x:v>
      </x:c>
      <x:c r="D260" s="1"/>
      <x:c r="E260" s="1" t="s">
        <x:v>1451</x:v>
      </x:c>
    </x:row>
    <x:row r="261">
      <x:c r="A261" s="1" t="s">
        <x:v>1452</x:v>
      </x:c>
      <x:c r="B261" s="1" t="s">
        <x:v>938</x:v>
      </x:c>
      <x:c r="C261" s="1">
        <x:v>1.0</x:v>
      </x:c>
      <x:c r="D261" s="1"/>
      <x:c r="E261" s="1" t="s">
        <x:v>1453</x:v>
      </x:c>
    </x:row>
    <x:row r="262">
      <x:c r="A262" s="1" t="s">
        <x:v>1454</x:v>
      </x:c>
      <x:c r="B262" s="1" t="s">
        <x:v>940</x:v>
      </x:c>
      <x:c r="C262" s="1">
        <x:v>1.0</x:v>
      </x:c>
      <x:c r="D262" s="1"/>
      <x:c r="E262" s="1" t="s">
        <x:v>1455</x:v>
      </x:c>
    </x:row>
    <x:row r="263">
      <x:c r="A263" s="1" t="s">
        <x:v>1456</x:v>
      </x:c>
      <x:c r="B263" s="1" t="s">
        <x:v>942</x:v>
      </x:c>
      <x:c r="C263" s="1">
        <x:v>1.0</x:v>
      </x:c>
      <x:c r="D263" s="1"/>
      <x:c r="E263" s="1" t="s">
        <x:v>1457</x:v>
      </x:c>
    </x:row>
    <x:row r="264">
      <x:c r="A264" s="1" t="s">
        <x:v>1458</x:v>
      </x:c>
      <x:c r="B264" s="1" t="s">
        <x:v>945</x:v>
      </x:c>
      <x:c r="C264" s="1">
        <x:v>1.0</x:v>
      </x:c>
      <x:c r="D264" s="1"/>
      <x:c r="E264" s="1" t="s">
        <x:v>1459</x:v>
      </x:c>
    </x:row>
    <x:row r="265">
      <x:c r="A265" s="1" t="s">
        <x:v>1460</x:v>
      </x:c>
      <x:c r="B265" s="1" t="s">
        <x:v>947</x:v>
      </x:c>
      <x:c r="C265" s="1">
        <x:v>1.0</x:v>
      </x:c>
      <x:c r="D265" s="1"/>
      <x:c r="E265" s="1" t="s">
        <x:v>1461</x:v>
      </x:c>
    </x:row>
    <x:row r="266">
      <x:c r="A266" s="1" t="s">
        <x:v>1462</x:v>
      </x:c>
      <x:c r="B266" s="1" t="s">
        <x:v>949</x:v>
      </x:c>
      <x:c r="C266" s="1">
        <x:v>1.0</x:v>
      </x:c>
      <x:c r="D266" s="1"/>
      <x:c r="E266" s="1" t="s">
        <x:v>1463</x:v>
      </x:c>
    </x:row>
    <x:row r="267">
      <x:c r="A267" s="1" t="s">
        <x:v>1464</x:v>
      </x:c>
      <x:c r="B267" s="1" t="s">
        <x:v>951</x:v>
      </x:c>
      <x:c r="C267" s="1">
        <x:v>1.0</x:v>
      </x:c>
      <x:c r="D267" s="1"/>
      <x:c r="E267" s="1" t="s">
        <x:v>1465</x:v>
      </x:c>
    </x:row>
    <x:row r="268">
      <x:c r="A268" s="1" t="s">
        <x:v>1466</x:v>
      </x:c>
      <x:c r="B268" s="1" t="s">
        <x:v>953</x:v>
      </x:c>
      <x:c r="C268" s="1">
        <x:v>1.0</x:v>
      </x:c>
      <x:c r="D268" s="1"/>
      <x:c r="E268" s="1" t="s">
        <x:v>1467</x:v>
      </x:c>
    </x:row>
    <x:row r="269">
      <x:c r="A269" s="1" t="s">
        <x:v>1468</x:v>
      </x:c>
      <x:c r="B269" s="1" t="s">
        <x:v>1469</x:v>
      </x:c>
      <x:c r="C269" s="14">
        <x:v>1.0</x:v>
      </x:c>
      <x:c r="D269" s="1" t="s">
        <x:v>1470</x:v>
      </x:c>
      <x:c r="E269" s="14" t="s">
        <x:v>1471</x:v>
      </x:c>
    </x:row>
    <x:row r="270">
      <x:c r="A270" s="1" t="s">
        <x:v>1472</x:v>
      </x:c>
      <x:c r="B270" s="1" t="s">
        <x:v>1469</x:v>
      </x:c>
      <x:c r="C270" s="14">
        <x:v>2.0</x:v>
      </x:c>
      <x:c r="D270" s="1" t="s">
        <x:v>1473</x:v>
      </x:c>
      <x:c r="E270" s="1" t="s">
        <x:v>1474</x:v>
      </x:c>
    </x:row>
    <x:row r="271">
      <x:c r="A271" s="1" t="s">
        <x:v>1475</x:v>
      </x:c>
      <x:c r="B271" s="1" t="s">
        <x:v>1469</x:v>
      </x:c>
      <x:c r="C271" s="1">
        <x:v>3.0</x:v>
      </x:c>
      <x:c r="D271" s="1" t="s">
        <x:v>1476</x:v>
      </x:c>
      <x:c r="E271" s="1" t="s">
        <x:v>1477</x:v>
      </x:c>
    </x:row>
    <x:row r="272">
      <x:c r="A272" s="1" t="s">
        <x:v>1478</x:v>
      </x:c>
      <x:c r="B272" s="1" t="s">
        <x:v>1469</x:v>
      </x:c>
      <x:c r="C272" s="1">
        <x:v>4.0</x:v>
      </x:c>
      <x:c r="D272" s="1" t="s">
        <x:v>1479</x:v>
      </x:c>
      <x:c r="E272" s="1" t="s">
        <x:v>1480</x:v>
      </x:c>
    </x:row>
    <x:row r="273">
      <x:c r="A273" s="1" t="s">
        <x:v>1481</x:v>
      </x:c>
      <x:c r="B273" s="1" t="s">
        <x:v>1469</x:v>
      </x:c>
      <x:c r="C273" s="1">
        <x:v>5.0</x:v>
      </x:c>
      <x:c r="D273" s="1" t="s">
        <x:v>1482</x:v>
      </x:c>
      <x:c r="E273" s="1" t="s">
        <x:v>1483</x:v>
      </x:c>
    </x:row>
    <x:row r="274">
      <x:c r="A274" s="1" t="s">
        <x:v>1484</x:v>
      </x:c>
      <x:c r="B274" s="1" t="s">
        <x:v>1469</x:v>
      </x:c>
      <x:c r="C274" s="1">
        <x:v>6.0</x:v>
      </x:c>
      <x:c r="D274" s="1" t="s">
        <x:v>1485</x:v>
      </x:c>
      <x:c r="E274" s="1" t="s">
        <x:v>1486</x:v>
      </x:c>
    </x:row>
    <x:row r="275">
      <x:c r="A275" s="1" t="s">
        <x:v>1487</x:v>
      </x:c>
      <x:c r="B275" s="1" t="s">
        <x:v>1469</x:v>
      </x:c>
      <x:c r="C275" s="1">
        <x:v>7.0</x:v>
      </x:c>
      <x:c r="D275" s="1" t="s">
        <x:v>1488</x:v>
      </x:c>
      <x:c r="E275" s="1" t="s">
        <x:v>1489</x:v>
      </x:c>
    </x:row>
    <x:row r="276">
      <x:c r="A276" s="1" t="s">
        <x:v>1490</x:v>
      </x:c>
      <x:c r="B276" s="1" t="s">
        <x:v>1469</x:v>
      </x:c>
      <x:c r="C276" s="1">
        <x:v>8.0</x:v>
      </x:c>
      <x:c r="D276" s="1" t="s">
        <x:v>1491</x:v>
      </x:c>
      <x:c r="E276" s="1" t="s">
        <x:v>1492</x:v>
      </x:c>
    </x:row>
  </x:sheetData>
  <x:pageMargins left="0.7" right="0.7" top="0.75" bottom="0.75" header="0.3" footer="0.3"/>
  <x:tableParts count="1">
    <x:tablePart xmlns:r="http://schemas.openxmlformats.org/officeDocument/2006/relationships" r:id="R26a39a5bb0f14094"/>
  </x:tableParts>
</x:worksheet>
</file>

<file path=xl/worksheets/sheet24.xml><?xml version="1.0" encoding="utf-8"?>
<x:worksheet xmlns:x="http://schemas.openxmlformats.org/spreadsheetml/2006/main">
  <x:sheetPr>
    <x:tabColor rgb="FFC1E4F5"/>
  </x:sheetPr>
  <x:sheetFormatPr defaultColWidth="12.630000114440918" defaultRowHeight="15.75"/>
  <x:sheetData>
    <x:row r="1">
      <x:c r="A1" s="1" t="s">
        <x:v>1493</x:v>
      </x:c>
      <x:c r="B1" s="1" t="s">
        <x:v>768</x:v>
      </x:c>
      <x:c r="C1" s="1" t="s">
        <x:v>1494</x:v>
      </x:c>
      <x:c r="D1" s="1" t="s">
        <x:v>1495</x:v>
      </x:c>
      <x:c r="E1" s="1" t="s">
        <x:v>414</x:v>
      </x:c>
    </x:row>
    <x:row r="2">
      <x:c r="A2" s="8" t="s">
        <x:v>1496</x:v>
      </x:c>
      <x:c r="B2" s="8" t="s">
        <x:v>809</x:v>
      </x:c>
      <x:c r="C2" s="21" t="s">
        <x:v>1497</x:v>
      </x:c>
      <x:c r="D2" s="21" t="s">
        <x:v>1498</x:v>
      </x:c>
    </x:row>
    <x:row r="3">
      <x:c r="A3" s="8" t="s">
        <x:v>1499</x:v>
      </x:c>
      <x:c r="B3" s="8" t="s">
        <x:v>809</x:v>
      </x:c>
      <x:c r="C3" s="21" t="s">
        <x:v>1500</x:v>
      </x:c>
      <x:c r="D3" s="21" t="s">
        <x:v>1501</x:v>
      </x:c>
    </x:row>
    <x:row r="4">
      <x:c r="A4" s="8" t="s">
        <x:v>1502</x:v>
      </x:c>
      <x:c r="B4" s="8" t="s">
        <x:v>809</x:v>
      </x:c>
      <x:c r="C4" s="8" t="s">
        <x:v>1503</x:v>
      </x:c>
      <x:c r="D4" s="8" t="s">
        <x:v>1504</x:v>
      </x:c>
    </x:row>
    <x:row r="5">
      <x:c r="A5" s="8" t="s">
        <x:v>1505</x:v>
      </x:c>
      <x:c r="B5" s="8" t="s">
        <x:v>811</x:v>
      </x:c>
      <x:c r="C5" s="8" t="s">
        <x:v>1506</x:v>
      </x:c>
      <x:c r="D5" s="8" t="s">
        <x:v>1507</x:v>
      </x:c>
    </x:row>
    <x:row r="6">
      <x:c r="A6" s="8" t="s">
        <x:v>1508</x:v>
      </x:c>
      <x:c r="B6" s="8" t="s">
        <x:v>811</x:v>
      </x:c>
      <x:c r="C6" s="8" t="s">
        <x:v>1509</x:v>
      </x:c>
      <x:c r="D6" s="8" t="s">
        <x:v>1510</x:v>
      </x:c>
    </x:row>
    <x:row r="7">
      <x:c r="A7" s="8" t="s">
        <x:v>1511</x:v>
      </x:c>
      <x:c r="B7" s="8" t="s">
        <x:v>811</x:v>
      </x:c>
      <x:c r="C7" s="8" t="s">
        <x:v>1503</x:v>
      </x:c>
      <x:c r="D7" s="8" t="s">
        <x:v>1512</x:v>
      </x:c>
    </x:row>
    <x:row r="8">
      <x:c r="A8" s="8" t="s">
        <x:v>1513</x:v>
      </x:c>
      <x:c r="B8" s="8" t="s">
        <x:v>813</x:v>
      </x:c>
      <x:c r="C8" s="8" t="s">
        <x:v>1514</x:v>
      </x:c>
      <x:c r="D8" s="8" t="s">
        <x:v>1515</x:v>
      </x:c>
    </x:row>
    <x:row r="9">
      <x:c r="A9" s="8" t="s">
        <x:v>1516</x:v>
      </x:c>
      <x:c r="B9" s="8" t="s">
        <x:v>813</x:v>
      </x:c>
      <x:c r="C9" s="8" t="s">
        <x:v>1517</x:v>
      </x:c>
      <x:c r="D9" s="8" t="s">
        <x:v>1518</x:v>
      </x:c>
    </x:row>
    <x:row r="10">
      <x:c r="A10" s="8" t="s">
        <x:v>1519</x:v>
      </x:c>
      <x:c r="B10" s="8" t="s">
        <x:v>815</x:v>
      </x:c>
      <x:c r="C10" s="8" t="s">
        <x:v>1520</x:v>
      </x:c>
      <x:c r="D10" s="8" t="s">
        <x:v>1521</x:v>
      </x:c>
    </x:row>
    <x:row r="11">
      <x:c r="A11" s="8" t="s">
        <x:v>1522</x:v>
      </x:c>
      <x:c r="B11" s="8" t="s">
        <x:v>815</x:v>
      </x:c>
      <x:c r="C11" s="8" t="s">
        <x:v>1523</x:v>
      </x:c>
      <x:c r="D11" s="8" t="s">
        <x:v>1524</x:v>
      </x:c>
    </x:row>
    <x:row r="12">
      <x:c r="A12" s="8" t="s">
        <x:v>1525</x:v>
      </x:c>
      <x:c r="B12" s="8" t="s">
        <x:v>817</x:v>
      </x:c>
      <x:c r="C12" s="8" t="s">
        <x:v>1526</x:v>
      </x:c>
      <x:c r="D12" s="8" t="s">
        <x:v>1527</x:v>
      </x:c>
    </x:row>
    <x:row r="13">
      <x:c r="A13" s="8" t="s">
        <x:v>1528</x:v>
      </x:c>
      <x:c r="B13" s="8" t="s">
        <x:v>817</x:v>
      </x:c>
      <x:c r="C13" s="8" t="s">
        <x:v>1529</x:v>
      </x:c>
      <x:c r="D13" s="8" t="s">
        <x:v>1530</x:v>
      </x:c>
    </x:row>
    <x:row r="14">
      <x:c r="A14" s="8" t="s">
        <x:v>1531</x:v>
      </x:c>
      <x:c r="B14" s="8" t="s">
        <x:v>819</x:v>
      </x:c>
      <x:c r="C14" s="8" t="s">
        <x:v>1532</x:v>
      </x:c>
      <x:c r="D14" s="8" t="s">
        <x:v>1533</x:v>
      </x:c>
    </x:row>
    <x:row r="15">
      <x:c r="A15" s="8" t="s">
        <x:v>1534</x:v>
      </x:c>
      <x:c r="B15" s="8" t="s">
        <x:v>819</x:v>
      </x:c>
      <x:c r="C15" s="8" t="s">
        <x:v>1535</x:v>
      </x:c>
      <x:c r="D15" s="8" t="s">
        <x:v>1536</x:v>
      </x:c>
    </x:row>
    <x:row r="16">
      <x:c r="A16" s="8" t="s">
        <x:v>1537</x:v>
      </x:c>
      <x:c r="B16" s="8" t="s">
        <x:v>821</x:v>
      </x:c>
      <x:c r="C16" s="8" t="s">
        <x:v>1538</x:v>
      </x:c>
      <x:c r="D16" s="8" t="s">
        <x:v>1539</x:v>
      </x:c>
    </x:row>
    <x:row r="17">
      <x:c r="A17" s="8" t="s">
        <x:v>1540</x:v>
      </x:c>
      <x:c r="B17" s="8" t="s">
        <x:v>821</x:v>
      </x:c>
      <x:c r="C17" s="8" t="s">
        <x:v>1541</x:v>
      </x:c>
      <x:c r="D17" s="8" t="s">
        <x:v>1542</x:v>
      </x:c>
    </x:row>
    <x:row r="18">
      <x:c r="A18" s="8" t="s">
        <x:v>1543</x:v>
      </x:c>
      <x:c r="B18" s="8" t="s">
        <x:v>823</x:v>
      </x:c>
      <x:c r="C18" s="8" t="s">
        <x:v>1544</x:v>
      </x:c>
      <x:c r="D18" s="8" t="s">
        <x:v>1545</x:v>
      </x:c>
    </x:row>
    <x:row r="19">
      <x:c r="A19" s="8" t="s">
        <x:v>1546</x:v>
      </x:c>
      <x:c r="B19" s="8" t="s">
        <x:v>823</x:v>
      </x:c>
      <x:c r="C19" s="8" t="s">
        <x:v>1547</x:v>
      </x:c>
      <x:c r="D19" s="8" t="s">
        <x:v>1548</x:v>
      </x:c>
    </x:row>
    <x:row r="20">
      <x:c r="A20" s="8" t="s">
        <x:v>1549</x:v>
      </x:c>
      <x:c r="B20" s="8" t="s">
        <x:v>825</x:v>
      </x:c>
      <x:c r="C20" s="8" t="s">
        <x:v>1550</x:v>
      </x:c>
      <x:c r="D20" s="8" t="s">
        <x:v>1551</x:v>
      </x:c>
    </x:row>
    <x:row r="21">
      <x:c r="A21" s="8" t="s">
        <x:v>1552</x:v>
      </x:c>
      <x:c r="B21" s="8" t="s">
        <x:v>825</x:v>
      </x:c>
      <x:c r="C21" s="8" t="s">
        <x:v>1553</x:v>
      </x:c>
      <x:c r="D21" s="8" t="s">
        <x:v>1554</x:v>
      </x:c>
    </x:row>
    <x:row r="22">
      <x:c r="A22" s="8" t="s">
        <x:v>1555</x:v>
      </x:c>
      <x:c r="B22" s="8" t="s">
        <x:v>827</x:v>
      </x:c>
      <x:c r="C22" s="8" t="s">
        <x:v>1556</x:v>
      </x:c>
      <x:c r="D22" s="8" t="s">
        <x:v>1557</x:v>
      </x:c>
    </x:row>
    <x:row r="23">
      <x:c r="A23" s="3" t="s">
        <x:v>1558</x:v>
      </x:c>
      <x:c r="B23" s="3" t="s">
        <x:v>829</x:v>
      </x:c>
      <x:c r="C23" s="3" t="s">
        <x:v>1559</x:v>
      </x:c>
      <x:c r="D23" s="3" t="s">
        <x:v>1560</x:v>
      </x:c>
      <x:c r="E23" s="11"/>
    </x:row>
    <x:row r="24">
      <x:c r="A24" s="4" t="s">
        <x:v>1561</x:v>
      </x:c>
      <x:c r="B24" s="4" t="s">
        <x:v>829</x:v>
      </x:c>
      <x:c r="C24" s="4" t="s">
        <x:v>1562</x:v>
      </x:c>
      <x:c r="D24" s="4" t="s">
        <x:v>1563</x:v>
      </x:c>
      <x:c r="E24" s="12"/>
    </x:row>
    <x:row r="25">
      <x:c r="A25" s="3" t="s">
        <x:v>1564</x:v>
      </x:c>
      <x:c r="B25" s="3" t="s">
        <x:v>829</x:v>
      </x:c>
      <x:c r="C25" s="3" t="s">
        <x:v>1565</x:v>
      </x:c>
      <x:c r="D25" s="3" t="s">
        <x:v>1566</x:v>
      </x:c>
      <x:c r="E25" s="11"/>
    </x:row>
    <x:row r="26">
      <x:c r="A26" s="4" t="s">
        <x:v>1567</x:v>
      </x:c>
      <x:c r="B26" s="4" t="s">
        <x:v>829</x:v>
      </x:c>
      <x:c r="C26" s="4" t="s">
        <x:v>1503</x:v>
      </x:c>
      <x:c r="D26" s="4" t="s">
        <x:v>1568</x:v>
      </x:c>
      <x:c r="E26" s="12"/>
    </x:row>
    <x:row r="27">
      <x:c r="A27" s="3" t="s">
        <x:v>1569</x:v>
      </x:c>
      <x:c r="B27" s="3" t="s">
        <x:v>831</x:v>
      </x:c>
      <x:c r="C27" s="3" t="s">
        <x:v>1559</x:v>
      </x:c>
      <x:c r="D27" s="3" t="s">
        <x:v>1560</x:v>
      </x:c>
      <x:c r="E27" s="11"/>
    </x:row>
    <x:row r="28">
      <x:c r="A28" s="4" t="s">
        <x:v>1570</x:v>
      </x:c>
      <x:c r="B28" s="4" t="s">
        <x:v>831</x:v>
      </x:c>
      <x:c r="C28" s="4" t="s">
        <x:v>1562</x:v>
      </x:c>
      <x:c r="D28" s="4" t="s">
        <x:v>1563</x:v>
      </x:c>
      <x:c r="E28" s="12"/>
    </x:row>
    <x:row r="29">
      <x:c r="A29" s="3" t="s">
        <x:v>1571</x:v>
      </x:c>
      <x:c r="B29" s="3" t="s">
        <x:v>831</x:v>
      </x:c>
      <x:c r="C29" s="3" t="s">
        <x:v>1565</x:v>
      </x:c>
      <x:c r="D29" s="3" t="s">
        <x:v>1566</x:v>
      </x:c>
      <x:c r="E29" s="11"/>
    </x:row>
    <x:row r="30">
      <x:c r="A30" s="4" t="s">
        <x:v>1572</x:v>
      </x:c>
      <x:c r="B30" s="4" t="s">
        <x:v>831</x:v>
      </x:c>
      <x:c r="C30" s="4" t="s">
        <x:v>1503</x:v>
      </x:c>
      <x:c r="D30" s="4" t="s">
        <x:v>1568</x:v>
      </x:c>
      <x:c r="E30" s="12"/>
    </x:row>
    <x:row r="31">
      <x:c r="A31" s="3" t="s">
        <x:v>1573</x:v>
      </x:c>
      <x:c r="B31" s="3" t="s">
        <x:v>833</x:v>
      </x:c>
      <x:c r="C31" s="3" t="s">
        <x:v>1559</x:v>
      </x:c>
      <x:c r="D31" s="3" t="s">
        <x:v>1560</x:v>
      </x:c>
      <x:c r="E31" s="11"/>
    </x:row>
    <x:row r="32">
      <x:c r="A32" s="4" t="s">
        <x:v>1574</x:v>
      </x:c>
      <x:c r="B32" s="4" t="s">
        <x:v>833</x:v>
      </x:c>
      <x:c r="C32" s="4" t="s">
        <x:v>1562</x:v>
      </x:c>
      <x:c r="D32" s="4" t="s">
        <x:v>1563</x:v>
      </x:c>
      <x:c r="E32" s="12"/>
    </x:row>
    <x:row r="33">
      <x:c r="A33" s="3" t="s">
        <x:v>1575</x:v>
      </x:c>
      <x:c r="B33" s="3" t="s">
        <x:v>833</x:v>
      </x:c>
      <x:c r="C33" s="3" t="s">
        <x:v>1565</x:v>
      </x:c>
      <x:c r="D33" s="3" t="s">
        <x:v>1566</x:v>
      </x:c>
      <x:c r="E33" s="11"/>
    </x:row>
    <x:row r="34">
      <x:c r="A34" s="4" t="s">
        <x:v>1576</x:v>
      </x:c>
      <x:c r="B34" s="4" t="s">
        <x:v>833</x:v>
      </x:c>
      <x:c r="C34" s="4" t="s">
        <x:v>1503</x:v>
      </x:c>
      <x:c r="D34" s="4" t="s">
        <x:v>1568</x:v>
      </x:c>
      <x:c r="E34" s="12"/>
    </x:row>
    <x:row r="35">
      <x:c r="A35" s="3" t="s">
        <x:v>1577</x:v>
      </x:c>
      <x:c r="B35" s="3" t="s">
        <x:v>835</x:v>
      </x:c>
      <x:c r="C35" s="3" t="s">
        <x:v>1559</x:v>
      </x:c>
      <x:c r="D35" s="3" t="s">
        <x:v>1560</x:v>
      </x:c>
      <x:c r="E35" s="11"/>
    </x:row>
    <x:row r="36">
      <x:c r="A36" s="4" t="s">
        <x:v>1578</x:v>
      </x:c>
      <x:c r="B36" s="4" t="s">
        <x:v>835</x:v>
      </x:c>
      <x:c r="C36" s="4" t="s">
        <x:v>1562</x:v>
      </x:c>
      <x:c r="D36" s="4" t="s">
        <x:v>1563</x:v>
      </x:c>
      <x:c r="E36" s="12"/>
    </x:row>
    <x:row r="37">
      <x:c r="A37" s="3" t="s">
        <x:v>1579</x:v>
      </x:c>
      <x:c r="B37" s="3" t="s">
        <x:v>835</x:v>
      </x:c>
      <x:c r="C37" s="3" t="s">
        <x:v>1565</x:v>
      </x:c>
      <x:c r="D37" s="3" t="s">
        <x:v>1566</x:v>
      </x:c>
      <x:c r="E37" s="11"/>
    </x:row>
    <x:row r="38">
      <x:c r="A38" s="4" t="s">
        <x:v>1580</x:v>
      </x:c>
      <x:c r="B38" s="4" t="s">
        <x:v>835</x:v>
      </x:c>
      <x:c r="C38" s="4" t="s">
        <x:v>1503</x:v>
      </x:c>
      <x:c r="D38" s="4" t="s">
        <x:v>1568</x:v>
      </x:c>
      <x:c r="E38" s="12"/>
    </x:row>
    <x:row r="39">
      <x:c r="A39" s="3" t="s">
        <x:v>1581</x:v>
      </x:c>
      <x:c r="B39" s="3" t="s">
        <x:v>837</x:v>
      </x:c>
      <x:c r="C39" s="3" t="s">
        <x:v>1559</x:v>
      </x:c>
      <x:c r="D39" s="3" t="s">
        <x:v>1560</x:v>
      </x:c>
      <x:c r="E39" s="11"/>
    </x:row>
    <x:row r="40">
      <x:c r="A40" s="4" t="s">
        <x:v>1582</x:v>
      </x:c>
      <x:c r="B40" s="4" t="s">
        <x:v>837</x:v>
      </x:c>
      <x:c r="C40" s="4" t="s">
        <x:v>1562</x:v>
      </x:c>
      <x:c r="D40" s="4" t="s">
        <x:v>1563</x:v>
      </x:c>
      <x:c r="E40" s="12"/>
    </x:row>
    <x:row r="41">
      <x:c r="A41" s="3" t="s">
        <x:v>1583</x:v>
      </x:c>
      <x:c r="B41" s="3" t="s">
        <x:v>837</x:v>
      </x:c>
      <x:c r="C41" s="3" t="s">
        <x:v>1565</x:v>
      </x:c>
      <x:c r="D41" s="3" t="s">
        <x:v>1566</x:v>
      </x:c>
      <x:c r="E41" s="11"/>
    </x:row>
    <x:row r="42">
      <x:c r="A42" s="4" t="s">
        <x:v>1584</x:v>
      </x:c>
      <x:c r="B42" s="4" t="s">
        <x:v>837</x:v>
      </x:c>
      <x:c r="C42" s="4" t="s">
        <x:v>1503</x:v>
      </x:c>
      <x:c r="D42" s="4" t="s">
        <x:v>1568</x:v>
      </x:c>
      <x:c r="E42" s="12"/>
    </x:row>
    <x:row r="43">
      <x:c r="A43" s="3" t="s">
        <x:v>1585</x:v>
      </x:c>
      <x:c r="B43" s="3" t="s">
        <x:v>839</x:v>
      </x:c>
      <x:c r="C43" s="3" t="s">
        <x:v>1559</x:v>
      </x:c>
      <x:c r="D43" s="3" t="s">
        <x:v>1560</x:v>
      </x:c>
      <x:c r="E43" s="11"/>
    </x:row>
    <x:row r="44">
      <x:c r="A44" s="4" t="s">
        <x:v>1586</x:v>
      </x:c>
      <x:c r="B44" s="4" t="s">
        <x:v>839</x:v>
      </x:c>
      <x:c r="C44" s="4" t="s">
        <x:v>1562</x:v>
      </x:c>
      <x:c r="D44" s="4" t="s">
        <x:v>1563</x:v>
      </x:c>
      <x:c r="E44" s="12"/>
    </x:row>
    <x:row r="45">
      <x:c r="A45" s="3" t="s">
        <x:v>1587</x:v>
      </x:c>
      <x:c r="B45" s="3" t="s">
        <x:v>839</x:v>
      </x:c>
      <x:c r="C45" s="3" t="s">
        <x:v>1565</x:v>
      </x:c>
      <x:c r="D45" s="3" t="s">
        <x:v>1566</x:v>
      </x:c>
      <x:c r="E45" s="11"/>
    </x:row>
    <x:row r="46">
      <x:c r="A46" s="4" t="s">
        <x:v>1588</x:v>
      </x:c>
      <x:c r="B46" s="4" t="s">
        <x:v>839</x:v>
      </x:c>
      <x:c r="C46" s="4" t="s">
        <x:v>1503</x:v>
      </x:c>
      <x:c r="D46" s="4" t="s">
        <x:v>1568</x:v>
      </x:c>
      <x:c r="E46" s="12"/>
    </x:row>
    <x:row r="47">
      <x:c r="A47" s="3" t="s">
        <x:v>1589</x:v>
      </x:c>
      <x:c r="B47" s="3" t="s">
        <x:v>841</x:v>
      </x:c>
      <x:c r="C47" s="3" t="s">
        <x:v>1559</x:v>
      </x:c>
      <x:c r="D47" s="3" t="s">
        <x:v>1560</x:v>
      </x:c>
      <x:c r="E47" s="11"/>
    </x:row>
    <x:row r="48">
      <x:c r="A48" s="4" t="s">
        <x:v>1590</x:v>
      </x:c>
      <x:c r="B48" s="4" t="s">
        <x:v>841</x:v>
      </x:c>
      <x:c r="C48" s="4" t="s">
        <x:v>1562</x:v>
      </x:c>
      <x:c r="D48" s="4" t="s">
        <x:v>1563</x:v>
      </x:c>
      <x:c r="E48" s="12"/>
    </x:row>
    <x:row r="49">
      <x:c r="A49" s="3" t="s">
        <x:v>1591</x:v>
      </x:c>
      <x:c r="B49" s="3" t="s">
        <x:v>841</x:v>
      </x:c>
      <x:c r="C49" s="3" t="s">
        <x:v>1565</x:v>
      </x:c>
      <x:c r="D49" s="3" t="s">
        <x:v>1566</x:v>
      </x:c>
      <x:c r="E49" s="11"/>
    </x:row>
    <x:row r="50">
      <x:c r="A50" s="4" t="s">
        <x:v>1592</x:v>
      </x:c>
      <x:c r="B50" s="4" t="s">
        <x:v>841</x:v>
      </x:c>
      <x:c r="C50" s="4" t="s">
        <x:v>1503</x:v>
      </x:c>
      <x:c r="D50" s="4" t="s">
        <x:v>1568</x:v>
      </x:c>
      <x:c r="E50" s="12"/>
    </x:row>
    <x:row r="51">
      <x:c r="A51" s="3" t="s">
        <x:v>1593</x:v>
      </x:c>
      <x:c r="B51" s="3" t="s">
        <x:v>843</x:v>
      </x:c>
      <x:c r="C51" s="3" t="s">
        <x:v>1559</x:v>
      </x:c>
      <x:c r="D51" s="3" t="s">
        <x:v>1560</x:v>
      </x:c>
      <x:c r="E51" s="11"/>
    </x:row>
    <x:row r="52">
      <x:c r="A52" s="4" t="s">
        <x:v>1594</x:v>
      </x:c>
      <x:c r="B52" s="4" t="s">
        <x:v>843</x:v>
      </x:c>
      <x:c r="C52" s="4" t="s">
        <x:v>1562</x:v>
      </x:c>
      <x:c r="D52" s="4" t="s">
        <x:v>1563</x:v>
      </x:c>
      <x:c r="E52" s="12"/>
    </x:row>
    <x:row r="53">
      <x:c r="A53" s="3" t="s">
        <x:v>1595</x:v>
      </x:c>
      <x:c r="B53" s="3" t="s">
        <x:v>843</x:v>
      </x:c>
      <x:c r="C53" s="3" t="s">
        <x:v>1565</x:v>
      </x:c>
      <x:c r="D53" s="3" t="s">
        <x:v>1566</x:v>
      </x:c>
      <x:c r="E53" s="11"/>
    </x:row>
    <x:row r="54">
      <x:c r="A54" s="4" t="s">
        <x:v>1596</x:v>
      </x:c>
      <x:c r="B54" s="4" t="s">
        <x:v>843</x:v>
      </x:c>
      <x:c r="C54" s="4" t="s">
        <x:v>1503</x:v>
      </x:c>
      <x:c r="D54" s="4" t="s">
        <x:v>1568</x:v>
      </x:c>
      <x:c r="E54" s="12"/>
    </x:row>
    <x:row r="55">
      <x:c r="A55" s="3" t="s">
        <x:v>1597</x:v>
      </x:c>
      <x:c r="B55" s="3" t="s">
        <x:v>845</x:v>
      </x:c>
      <x:c r="C55" s="3" t="s">
        <x:v>1559</x:v>
      </x:c>
      <x:c r="D55" s="3" t="s">
        <x:v>1560</x:v>
      </x:c>
      <x:c r="E55" s="11"/>
    </x:row>
    <x:row r="56">
      <x:c r="A56" s="4" t="s">
        <x:v>1598</x:v>
      </x:c>
      <x:c r="B56" s="4" t="s">
        <x:v>845</x:v>
      </x:c>
      <x:c r="C56" s="4" t="s">
        <x:v>1562</x:v>
      </x:c>
      <x:c r="D56" s="4" t="s">
        <x:v>1563</x:v>
      </x:c>
      <x:c r="E56" s="12"/>
    </x:row>
    <x:row r="57">
      <x:c r="A57" s="3" t="s">
        <x:v>1599</x:v>
      </x:c>
      <x:c r="B57" s="3" t="s">
        <x:v>845</x:v>
      </x:c>
      <x:c r="C57" s="3" t="s">
        <x:v>1565</x:v>
      </x:c>
      <x:c r="D57" s="3" t="s">
        <x:v>1566</x:v>
      </x:c>
      <x:c r="E57" s="11"/>
    </x:row>
    <x:row r="58">
      <x:c r="A58" s="4" t="s">
        <x:v>1600</x:v>
      </x:c>
      <x:c r="B58" s="4" t="s">
        <x:v>845</x:v>
      </x:c>
      <x:c r="C58" s="4" t="s">
        <x:v>1503</x:v>
      </x:c>
      <x:c r="D58" s="4" t="s">
        <x:v>1568</x:v>
      </x:c>
      <x:c r="E58" s="12"/>
    </x:row>
    <x:row r="59">
      <x:c r="A59" s="3" t="s">
        <x:v>1601</x:v>
      </x:c>
      <x:c r="B59" s="3" t="s">
        <x:v>847</x:v>
      </x:c>
      <x:c r="C59" s="3" t="s">
        <x:v>1559</x:v>
      </x:c>
      <x:c r="D59" s="3" t="s">
        <x:v>1560</x:v>
      </x:c>
      <x:c r="E59" s="11"/>
    </x:row>
    <x:row r="60">
      <x:c r="A60" s="4" t="s">
        <x:v>1602</x:v>
      </x:c>
      <x:c r="B60" s="4" t="s">
        <x:v>847</x:v>
      </x:c>
      <x:c r="C60" s="4" t="s">
        <x:v>1562</x:v>
      </x:c>
      <x:c r="D60" s="4" t="s">
        <x:v>1563</x:v>
      </x:c>
      <x:c r="E60" s="12"/>
    </x:row>
    <x:row r="61">
      <x:c r="A61" s="3" t="s">
        <x:v>1603</x:v>
      </x:c>
      <x:c r="B61" s="3" t="s">
        <x:v>847</x:v>
      </x:c>
      <x:c r="C61" s="3" t="s">
        <x:v>1565</x:v>
      </x:c>
      <x:c r="D61" s="3" t="s">
        <x:v>1566</x:v>
      </x:c>
      <x:c r="E61" s="11"/>
    </x:row>
    <x:row r="62">
      <x:c r="A62" s="4" t="s">
        <x:v>1604</x:v>
      </x:c>
      <x:c r="B62" s="4" t="s">
        <x:v>847</x:v>
      </x:c>
      <x:c r="C62" s="4" t="s">
        <x:v>1503</x:v>
      </x:c>
      <x:c r="D62" s="4" t="s">
        <x:v>1568</x:v>
      </x:c>
      <x:c r="E62" s="12"/>
    </x:row>
    <x:row r="63">
      <x:c r="A63" s="3" t="s">
        <x:v>1605</x:v>
      </x:c>
      <x:c r="B63" s="3" t="s">
        <x:v>849</x:v>
      </x:c>
      <x:c r="C63" s="3" t="s">
        <x:v>1559</x:v>
      </x:c>
      <x:c r="D63" s="3" t="s">
        <x:v>1560</x:v>
      </x:c>
      <x:c r="E63" s="11"/>
    </x:row>
    <x:row r="64">
      <x:c r="A64" s="4" t="s">
        <x:v>1606</x:v>
      </x:c>
      <x:c r="B64" s="4" t="s">
        <x:v>849</x:v>
      </x:c>
      <x:c r="C64" s="4" t="s">
        <x:v>1562</x:v>
      </x:c>
      <x:c r="D64" s="4" t="s">
        <x:v>1563</x:v>
      </x:c>
      <x:c r="E64" s="12"/>
    </x:row>
    <x:row r="65">
      <x:c r="A65" s="3" t="s">
        <x:v>1607</x:v>
      </x:c>
      <x:c r="B65" s="3" t="s">
        <x:v>849</x:v>
      </x:c>
      <x:c r="C65" s="3" t="s">
        <x:v>1565</x:v>
      </x:c>
      <x:c r="D65" s="3" t="s">
        <x:v>1566</x:v>
      </x:c>
      <x:c r="E65" s="11"/>
    </x:row>
    <x:row r="66">
      <x:c r="A66" s="4" t="s">
        <x:v>1608</x:v>
      </x:c>
      <x:c r="B66" s="4" t="s">
        <x:v>849</x:v>
      </x:c>
      <x:c r="C66" s="4" t="s">
        <x:v>1503</x:v>
      </x:c>
      <x:c r="D66" s="4" t="s">
        <x:v>1568</x:v>
      </x:c>
      <x:c r="E66" s="12"/>
    </x:row>
    <x:row r="67">
      <x:c r="A67" s="3" t="s">
        <x:v>1609</x:v>
      </x:c>
      <x:c r="B67" s="3" t="s">
        <x:v>851</x:v>
      </x:c>
      <x:c r="C67" s="3" t="s">
        <x:v>1559</x:v>
      </x:c>
      <x:c r="D67" s="3" t="s">
        <x:v>1560</x:v>
      </x:c>
      <x:c r="E67" s="11"/>
    </x:row>
    <x:row r="68">
      <x:c r="A68" s="4" t="s">
        <x:v>1610</x:v>
      </x:c>
      <x:c r="B68" s="4" t="s">
        <x:v>851</x:v>
      </x:c>
      <x:c r="C68" s="4" t="s">
        <x:v>1562</x:v>
      </x:c>
      <x:c r="D68" s="4" t="s">
        <x:v>1563</x:v>
      </x:c>
      <x:c r="E68" s="12"/>
    </x:row>
    <x:row r="69">
      <x:c r="A69" s="3" t="s">
        <x:v>1611</x:v>
      </x:c>
      <x:c r="B69" s="3" t="s">
        <x:v>851</x:v>
      </x:c>
      <x:c r="C69" s="3" t="s">
        <x:v>1565</x:v>
      </x:c>
      <x:c r="D69" s="3" t="s">
        <x:v>1566</x:v>
      </x:c>
      <x:c r="E69" s="11"/>
    </x:row>
    <x:row r="70">
      <x:c r="A70" s="4" t="s">
        <x:v>1612</x:v>
      </x:c>
      <x:c r="B70" s="4" t="s">
        <x:v>851</x:v>
      </x:c>
      <x:c r="C70" s="4" t="s">
        <x:v>1503</x:v>
      </x:c>
      <x:c r="D70" s="4" t="s">
        <x:v>1568</x:v>
      </x:c>
      <x:c r="E70" s="12"/>
    </x:row>
    <x:row r="71">
      <x:c r="A71" s="3" t="s">
        <x:v>1613</x:v>
      </x:c>
      <x:c r="B71" s="3" t="s">
        <x:v>853</x:v>
      </x:c>
      <x:c r="C71" s="3" t="s">
        <x:v>1559</x:v>
      </x:c>
      <x:c r="D71" s="3" t="s">
        <x:v>1560</x:v>
      </x:c>
      <x:c r="E71" s="11"/>
    </x:row>
    <x:row r="72">
      <x:c r="A72" s="4" t="s">
        <x:v>1614</x:v>
      </x:c>
      <x:c r="B72" s="4" t="s">
        <x:v>853</x:v>
      </x:c>
      <x:c r="C72" s="4" t="s">
        <x:v>1562</x:v>
      </x:c>
      <x:c r="D72" s="4" t="s">
        <x:v>1563</x:v>
      </x:c>
      <x:c r="E72" s="12"/>
    </x:row>
    <x:row r="73">
      <x:c r="A73" s="3" t="s">
        <x:v>1615</x:v>
      </x:c>
      <x:c r="B73" s="3" t="s">
        <x:v>853</x:v>
      </x:c>
      <x:c r="C73" s="3" t="s">
        <x:v>1565</x:v>
      </x:c>
      <x:c r="D73" s="3" t="s">
        <x:v>1566</x:v>
      </x:c>
      <x:c r="E73" s="11"/>
    </x:row>
    <x:row r="74">
      <x:c r="A74" s="4" t="s">
        <x:v>1616</x:v>
      </x:c>
      <x:c r="B74" s="4" t="s">
        <x:v>853</x:v>
      </x:c>
      <x:c r="C74" s="4" t="s">
        <x:v>1503</x:v>
      </x:c>
      <x:c r="D74" s="4" t="s">
        <x:v>1568</x:v>
      </x:c>
      <x:c r="E74" s="12"/>
    </x:row>
    <x:row r="75">
      <x:c r="A75" s="3" t="s">
        <x:v>1617</x:v>
      </x:c>
      <x:c r="B75" s="3" t="s">
        <x:v>855</x:v>
      </x:c>
      <x:c r="C75" s="3" t="s">
        <x:v>1559</x:v>
      </x:c>
      <x:c r="D75" s="3" t="s">
        <x:v>1560</x:v>
      </x:c>
      <x:c r="E75" s="11"/>
    </x:row>
    <x:row r="76">
      <x:c r="A76" s="4" t="s">
        <x:v>1618</x:v>
      </x:c>
      <x:c r="B76" s="4" t="s">
        <x:v>855</x:v>
      </x:c>
      <x:c r="C76" s="4" t="s">
        <x:v>1562</x:v>
      </x:c>
      <x:c r="D76" s="4" t="s">
        <x:v>1563</x:v>
      </x:c>
      <x:c r="E76" s="12"/>
    </x:row>
    <x:row r="77">
      <x:c r="A77" s="3" t="s">
        <x:v>1619</x:v>
      </x:c>
      <x:c r="B77" s="3" t="s">
        <x:v>855</x:v>
      </x:c>
      <x:c r="C77" s="3" t="s">
        <x:v>1565</x:v>
      </x:c>
      <x:c r="D77" s="3" t="s">
        <x:v>1566</x:v>
      </x:c>
      <x:c r="E77" s="11"/>
    </x:row>
    <x:row r="78">
      <x:c r="A78" s="4" t="s">
        <x:v>1620</x:v>
      </x:c>
      <x:c r="B78" s="4" t="s">
        <x:v>855</x:v>
      </x:c>
      <x:c r="C78" s="4" t="s">
        <x:v>1503</x:v>
      </x:c>
      <x:c r="D78" s="4" t="s">
        <x:v>1568</x:v>
      </x:c>
      <x:c r="E78" s="12"/>
    </x:row>
    <x:row r="79">
      <x:c r="A79" s="3" t="s">
        <x:v>1621</x:v>
      </x:c>
      <x:c r="B79" s="3" t="s">
        <x:v>857</x:v>
      </x:c>
      <x:c r="C79" s="3" t="s">
        <x:v>1559</x:v>
      </x:c>
      <x:c r="D79" s="3" t="s">
        <x:v>1560</x:v>
      </x:c>
      <x:c r="E79" s="11"/>
    </x:row>
    <x:row r="80">
      <x:c r="A80" s="4" t="s">
        <x:v>1622</x:v>
      </x:c>
      <x:c r="B80" s="4" t="s">
        <x:v>857</x:v>
      </x:c>
      <x:c r="C80" s="4" t="s">
        <x:v>1562</x:v>
      </x:c>
      <x:c r="D80" s="4" t="s">
        <x:v>1563</x:v>
      </x:c>
      <x:c r="E80" s="12"/>
    </x:row>
    <x:row r="81">
      <x:c r="A81" s="3" t="s">
        <x:v>1623</x:v>
      </x:c>
      <x:c r="B81" s="3" t="s">
        <x:v>857</x:v>
      </x:c>
      <x:c r="C81" s="3" t="s">
        <x:v>1565</x:v>
      </x:c>
      <x:c r="D81" s="3" t="s">
        <x:v>1566</x:v>
      </x:c>
      <x:c r="E81" s="11"/>
    </x:row>
    <x:row r="82">
      <x:c r="A82" s="4" t="s">
        <x:v>1624</x:v>
      </x:c>
      <x:c r="B82" s="4" t="s">
        <x:v>857</x:v>
      </x:c>
      <x:c r="C82" s="4" t="s">
        <x:v>1503</x:v>
      </x:c>
      <x:c r="D82" s="4" t="s">
        <x:v>1568</x:v>
      </x:c>
      <x:c r="E82" s="12"/>
    </x:row>
    <x:row r="83">
      <x:c r="A83" s="3" t="s">
        <x:v>1625</x:v>
      </x:c>
      <x:c r="B83" s="3" t="s">
        <x:v>859</x:v>
      </x:c>
      <x:c r="C83" s="3" t="s">
        <x:v>1559</x:v>
      </x:c>
      <x:c r="D83" s="3" t="s">
        <x:v>1560</x:v>
      </x:c>
      <x:c r="E83" s="11"/>
    </x:row>
    <x:row r="84">
      <x:c r="A84" s="4" t="s">
        <x:v>1626</x:v>
      </x:c>
      <x:c r="B84" s="4" t="s">
        <x:v>859</x:v>
      </x:c>
      <x:c r="C84" s="4" t="s">
        <x:v>1562</x:v>
      </x:c>
      <x:c r="D84" s="4" t="s">
        <x:v>1563</x:v>
      </x:c>
      <x:c r="E84" s="12"/>
    </x:row>
    <x:row r="85">
      <x:c r="A85" s="3" t="s">
        <x:v>1627</x:v>
      </x:c>
      <x:c r="B85" s="3" t="s">
        <x:v>859</x:v>
      </x:c>
      <x:c r="C85" s="3" t="s">
        <x:v>1565</x:v>
      </x:c>
      <x:c r="D85" s="3" t="s">
        <x:v>1566</x:v>
      </x:c>
      <x:c r="E85" s="11"/>
    </x:row>
    <x:row r="86">
      <x:c r="A86" s="4" t="s">
        <x:v>1628</x:v>
      </x:c>
      <x:c r="B86" s="4" t="s">
        <x:v>859</x:v>
      </x:c>
      <x:c r="C86" s="4" t="s">
        <x:v>1503</x:v>
      </x:c>
      <x:c r="D86" s="4" t="s">
        <x:v>1568</x:v>
      </x:c>
      <x:c r="E86" s="12"/>
    </x:row>
    <x:row r="87">
      <x:c r="A87" s="3" t="s">
        <x:v>1629</x:v>
      </x:c>
      <x:c r="B87" s="3" t="s">
        <x:v>861</x:v>
      </x:c>
      <x:c r="C87" s="3" t="s">
        <x:v>1559</x:v>
      </x:c>
      <x:c r="D87" s="3" t="s">
        <x:v>1560</x:v>
      </x:c>
      <x:c r="E87" s="11"/>
    </x:row>
    <x:row r="88">
      <x:c r="A88" s="4" t="s">
        <x:v>1630</x:v>
      </x:c>
      <x:c r="B88" s="4" t="s">
        <x:v>861</x:v>
      </x:c>
      <x:c r="C88" s="4" t="s">
        <x:v>1562</x:v>
      </x:c>
      <x:c r="D88" s="4" t="s">
        <x:v>1563</x:v>
      </x:c>
      <x:c r="E88" s="12"/>
    </x:row>
    <x:row r="89">
      <x:c r="A89" s="3" t="s">
        <x:v>1631</x:v>
      </x:c>
      <x:c r="B89" s="3" t="s">
        <x:v>861</x:v>
      </x:c>
      <x:c r="C89" s="3" t="s">
        <x:v>1565</x:v>
      </x:c>
      <x:c r="D89" s="3" t="s">
        <x:v>1566</x:v>
      </x:c>
      <x:c r="E89" s="11"/>
    </x:row>
    <x:row r="90">
      <x:c r="A90" s="4" t="s">
        <x:v>1632</x:v>
      </x:c>
      <x:c r="B90" s="4" t="s">
        <x:v>861</x:v>
      </x:c>
      <x:c r="C90" s="4" t="s">
        <x:v>1503</x:v>
      </x:c>
      <x:c r="D90" s="4" t="s">
        <x:v>1568</x:v>
      </x:c>
      <x:c r="E90" s="12"/>
    </x:row>
    <x:row r="91">
      <x:c r="A91" s="3" t="s">
        <x:v>1633</x:v>
      </x:c>
      <x:c r="B91" s="3" t="s">
        <x:v>863</x:v>
      </x:c>
      <x:c r="C91" s="3" t="s">
        <x:v>1634</x:v>
      </x:c>
      <x:c r="D91" s="3" t="s">
        <x:v>1635</x:v>
      </x:c>
      <x:c r="E91" s="11"/>
    </x:row>
    <x:row r="92">
      <x:c r="A92" s="4" t="s">
        <x:v>1636</x:v>
      </x:c>
      <x:c r="B92" s="4" t="s">
        <x:v>863</x:v>
      </x:c>
      <x:c r="C92" s="4" t="s">
        <x:v>1637</x:v>
      </x:c>
      <x:c r="D92" s="4" t="s">
        <x:v>1638</x:v>
      </x:c>
      <x:c r="E92" s="12"/>
    </x:row>
    <x:row r="93">
      <x:c r="A93" s="3" t="s">
        <x:v>1639</x:v>
      </x:c>
      <x:c r="B93" s="3" t="s">
        <x:v>863</x:v>
      </x:c>
      <x:c r="C93" s="3" t="s">
        <x:v>1640</x:v>
      </x:c>
      <x:c r="D93" s="3" t="s">
        <x:v>1641</x:v>
      </x:c>
      <x:c r="E93" s="11"/>
    </x:row>
    <x:row r="94">
      <x:c r="A94" s="4" t="s">
        <x:v>1642</x:v>
      </x:c>
      <x:c r="B94" s="4" t="s">
        <x:v>865</x:v>
      </x:c>
      <x:c r="C94" s="4" t="s">
        <x:v>1634</x:v>
      </x:c>
      <x:c r="D94" s="4" t="s">
        <x:v>1635</x:v>
      </x:c>
      <x:c r="E94" s="12"/>
    </x:row>
    <x:row r="95">
      <x:c r="A95" s="3" t="s">
        <x:v>1643</x:v>
      </x:c>
      <x:c r="B95" s="3" t="s">
        <x:v>865</x:v>
      </x:c>
      <x:c r="C95" s="3" t="s">
        <x:v>1637</x:v>
      </x:c>
      <x:c r="D95" s="3" t="s">
        <x:v>1638</x:v>
      </x:c>
      <x:c r="E95" s="11"/>
    </x:row>
    <x:row r="96">
      <x:c r="A96" s="4" t="s">
        <x:v>1644</x:v>
      </x:c>
      <x:c r="B96" s="4" t="s">
        <x:v>865</x:v>
      </x:c>
      <x:c r="C96" s="4" t="s">
        <x:v>1640</x:v>
      </x:c>
      <x:c r="D96" s="4" t="s">
        <x:v>1641</x:v>
      </x:c>
      <x:c r="E96" s="12"/>
    </x:row>
    <x:row r="97">
      <x:c r="A97" s="3" t="s">
        <x:v>1645</x:v>
      </x:c>
      <x:c r="B97" s="3" t="s">
        <x:v>867</x:v>
      </x:c>
      <x:c r="C97" s="3" t="s">
        <x:v>1634</x:v>
      </x:c>
      <x:c r="D97" s="3" t="s">
        <x:v>1635</x:v>
      </x:c>
      <x:c r="E97" s="11"/>
    </x:row>
    <x:row r="98">
      <x:c r="A98" s="4" t="s">
        <x:v>1646</x:v>
      </x:c>
      <x:c r="B98" s="4" t="s">
        <x:v>867</x:v>
      </x:c>
      <x:c r="C98" s="4" t="s">
        <x:v>1637</x:v>
      </x:c>
      <x:c r="D98" s="4" t="s">
        <x:v>1638</x:v>
      </x:c>
      <x:c r="E98" s="12"/>
    </x:row>
    <x:row r="99">
      <x:c r="A99" s="3" t="s">
        <x:v>1647</x:v>
      </x:c>
      <x:c r="B99" s="3" t="s">
        <x:v>867</x:v>
      </x:c>
      <x:c r="C99" s="3" t="s">
        <x:v>1640</x:v>
      </x:c>
      <x:c r="D99" s="3" t="s">
        <x:v>1641</x:v>
      </x:c>
      <x:c r="E99" s="11"/>
    </x:row>
    <x:row r="100">
      <x:c r="A100" s="4" t="s">
        <x:v>1648</x:v>
      </x:c>
      <x:c r="B100" s="4" t="s">
        <x:v>869</x:v>
      </x:c>
      <x:c r="C100" s="4" t="s">
        <x:v>1634</x:v>
      </x:c>
      <x:c r="D100" s="4" t="s">
        <x:v>1635</x:v>
      </x:c>
      <x:c r="E100" s="12"/>
    </x:row>
    <x:row r="101">
      <x:c r="A101" s="3" t="s">
        <x:v>1649</x:v>
      </x:c>
      <x:c r="B101" s="3" t="s">
        <x:v>869</x:v>
      </x:c>
      <x:c r="C101" s="3" t="s">
        <x:v>1637</x:v>
      </x:c>
      <x:c r="D101" s="3" t="s">
        <x:v>1638</x:v>
      </x:c>
      <x:c r="E101" s="11"/>
    </x:row>
    <x:row r="102">
      <x:c r="A102" s="4" t="s">
        <x:v>1650</x:v>
      </x:c>
      <x:c r="B102" s="4" t="s">
        <x:v>869</x:v>
      </x:c>
      <x:c r="C102" s="4" t="s">
        <x:v>1640</x:v>
      </x:c>
      <x:c r="D102" s="4" t="s">
        <x:v>1641</x:v>
      </x:c>
      <x:c r="E102" s="12"/>
    </x:row>
    <x:row r="103">
      <x:c r="A103" s="3" t="s">
        <x:v>1651</x:v>
      </x:c>
      <x:c r="B103" s="3" t="s">
        <x:v>871</x:v>
      </x:c>
      <x:c r="C103" s="3" t="s">
        <x:v>1652</x:v>
      </x:c>
      <x:c r="D103" s="3" t="s">
        <x:v>1653</x:v>
      </x:c>
      <x:c r="E103" s="11"/>
    </x:row>
    <x:row r="104">
      <x:c r="A104" s="4" t="s">
        <x:v>1654</x:v>
      </x:c>
      <x:c r="B104" s="4" t="s">
        <x:v>871</x:v>
      </x:c>
      <x:c r="C104" s="4" t="s">
        <x:v>1655</x:v>
      </x:c>
      <x:c r="D104" s="4" t="s">
        <x:v>1656</x:v>
      </x:c>
      <x:c r="E104" s="12"/>
    </x:row>
    <x:row r="105">
      <x:c r="A105" s="3" t="s">
        <x:v>1657</x:v>
      </x:c>
      <x:c r="B105" s="3" t="s">
        <x:v>871</x:v>
      </x:c>
      <x:c r="C105" s="3" t="s">
        <x:v>1658</x:v>
      </x:c>
      <x:c r="D105" s="3" t="s">
        <x:v>1659</x:v>
      </x:c>
      <x:c r="E105" s="11"/>
    </x:row>
    <x:row r="106">
      <x:c r="A106" s="4" t="s">
        <x:v>1660</x:v>
      </x:c>
      <x:c r="B106" s="4" t="s">
        <x:v>873</x:v>
      </x:c>
      <x:c r="C106" s="4" t="s">
        <x:v>1652</x:v>
      </x:c>
      <x:c r="D106" s="4" t="s">
        <x:v>1653</x:v>
      </x:c>
      <x:c r="E106" s="12"/>
    </x:row>
    <x:row r="107">
      <x:c r="A107" s="3" t="s">
        <x:v>1661</x:v>
      </x:c>
      <x:c r="B107" s="3" t="s">
        <x:v>873</x:v>
      </x:c>
      <x:c r="C107" s="3" t="s">
        <x:v>1655</x:v>
      </x:c>
      <x:c r="D107" s="3" t="s">
        <x:v>1656</x:v>
      </x:c>
      <x:c r="E107" s="11"/>
    </x:row>
    <x:row r="108">
      <x:c r="A108" s="4" t="s">
        <x:v>1662</x:v>
      </x:c>
      <x:c r="B108" s="4" t="s">
        <x:v>873</x:v>
      </x:c>
      <x:c r="C108" s="4" t="s">
        <x:v>1658</x:v>
      </x:c>
      <x:c r="D108" s="4" t="s">
        <x:v>1659</x:v>
      </x:c>
      <x:c r="E108" s="12"/>
    </x:row>
    <x:row r="109">
      <x:c r="A109" s="3" t="s">
        <x:v>1663</x:v>
      </x:c>
      <x:c r="B109" s="3" t="s">
        <x:v>875</x:v>
      </x:c>
      <x:c r="C109" s="3" t="s">
        <x:v>1652</x:v>
      </x:c>
      <x:c r="D109" s="3" t="s">
        <x:v>1653</x:v>
      </x:c>
      <x:c r="E109" s="11"/>
    </x:row>
    <x:row r="110">
      <x:c r="A110" s="4" t="s">
        <x:v>1664</x:v>
      </x:c>
      <x:c r="B110" s="4" t="s">
        <x:v>875</x:v>
      </x:c>
      <x:c r="C110" s="4" t="s">
        <x:v>1655</x:v>
      </x:c>
      <x:c r="D110" s="4" t="s">
        <x:v>1656</x:v>
      </x:c>
      <x:c r="E110" s="12"/>
    </x:row>
    <x:row r="111">
      <x:c r="A111" s="3" t="s">
        <x:v>1665</x:v>
      </x:c>
      <x:c r="B111" s="3" t="s">
        <x:v>875</x:v>
      </x:c>
      <x:c r="C111" s="3" t="s">
        <x:v>1658</x:v>
      </x:c>
      <x:c r="D111" s="3" t="s">
        <x:v>1659</x:v>
      </x:c>
      <x:c r="E111" s="11"/>
    </x:row>
    <x:row r="112">
      <x:c r="A112" s="4" t="s">
        <x:v>1666</x:v>
      </x:c>
      <x:c r="B112" s="4" t="s">
        <x:v>877</x:v>
      </x:c>
      <x:c r="C112" s="4" t="s">
        <x:v>1652</x:v>
      </x:c>
      <x:c r="D112" s="4" t="s">
        <x:v>1653</x:v>
      </x:c>
      <x:c r="E112" s="12"/>
    </x:row>
    <x:row r="113">
      <x:c r="A113" s="3" t="s">
        <x:v>1667</x:v>
      </x:c>
      <x:c r="B113" s="3" t="s">
        <x:v>877</x:v>
      </x:c>
      <x:c r="C113" s="3" t="s">
        <x:v>1655</x:v>
      </x:c>
      <x:c r="D113" s="3" t="s">
        <x:v>1656</x:v>
      </x:c>
      <x:c r="E113" s="11"/>
    </x:row>
    <x:row r="114">
      <x:c r="A114" s="4" t="s">
        <x:v>1668</x:v>
      </x:c>
      <x:c r="B114" s="4" t="s">
        <x:v>877</x:v>
      </x:c>
      <x:c r="C114" s="4" t="s">
        <x:v>1658</x:v>
      </x:c>
      <x:c r="D114" s="4" t="s">
        <x:v>1659</x:v>
      </x:c>
      <x:c r="E114" s="12"/>
    </x:row>
    <x:row r="115">
      <x:c r="A115" s="3" t="s">
        <x:v>1669</x:v>
      </x:c>
      <x:c r="B115" s="3" t="s">
        <x:v>879</x:v>
      </x:c>
      <x:c r="C115" s="3" t="s">
        <x:v>1652</x:v>
      </x:c>
      <x:c r="D115" s="3" t="s">
        <x:v>1653</x:v>
      </x:c>
      <x:c r="E115" s="11"/>
    </x:row>
    <x:row r="116">
      <x:c r="A116" s="4" t="s">
        <x:v>1670</x:v>
      </x:c>
      <x:c r="B116" s="4" t="s">
        <x:v>879</x:v>
      </x:c>
      <x:c r="C116" s="4" t="s">
        <x:v>1655</x:v>
      </x:c>
      <x:c r="D116" s="4" t="s">
        <x:v>1656</x:v>
      </x:c>
      <x:c r="E116" s="12"/>
    </x:row>
    <x:row r="117">
      <x:c r="A117" s="3" t="s">
        <x:v>1671</x:v>
      </x:c>
      <x:c r="B117" s="3" t="s">
        <x:v>879</x:v>
      </x:c>
      <x:c r="C117" s="3" t="s">
        <x:v>1658</x:v>
      </x:c>
      <x:c r="D117" s="3" t="s">
        <x:v>1659</x:v>
      </x:c>
      <x:c r="E117" s="11"/>
    </x:row>
    <x:row r="118">
      <x:c r="A118" s="4" t="s">
        <x:v>1672</x:v>
      </x:c>
      <x:c r="B118" s="4" t="s">
        <x:v>881</x:v>
      </x:c>
      <x:c r="C118" s="4" t="s">
        <x:v>1652</x:v>
      </x:c>
      <x:c r="D118" s="4" t="s">
        <x:v>1653</x:v>
      </x:c>
      <x:c r="E118" s="12"/>
    </x:row>
    <x:row r="119">
      <x:c r="A119" s="3" t="s">
        <x:v>1673</x:v>
      </x:c>
      <x:c r="B119" s="3" t="s">
        <x:v>881</x:v>
      </x:c>
      <x:c r="C119" s="3" t="s">
        <x:v>1655</x:v>
      </x:c>
      <x:c r="D119" s="3" t="s">
        <x:v>1656</x:v>
      </x:c>
      <x:c r="E119" s="11"/>
    </x:row>
    <x:row r="120">
      <x:c r="A120" s="4" t="s">
        <x:v>1674</x:v>
      </x:c>
      <x:c r="B120" s="4" t="s">
        <x:v>881</x:v>
      </x:c>
      <x:c r="C120" s="4" t="s">
        <x:v>1658</x:v>
      </x:c>
      <x:c r="D120" s="4" t="s">
        <x:v>1659</x:v>
      </x:c>
      <x:c r="E120" s="12"/>
    </x:row>
    <x:row r="121">
      <x:c r="A121" s="1" t="s">
        <x:v>1675</x:v>
      </x:c>
      <x:c r="B121" s="1" t="s">
        <x:v>912</x:v>
      </x:c>
      <x:c r="C121" s="1" t="s">
        <x:v>1676</x:v>
      </x:c>
      <x:c r="D121" s="1" t="s">
        <x:v>1677</x:v>
      </x:c>
      <x:c r="E121" s="12"/>
    </x:row>
    <x:row r="122">
      <x:c r="A122" s="1" t="s">
        <x:v>1678</x:v>
      </x:c>
      <x:c r="B122" s="1" t="s">
        <x:v>912</x:v>
      </x:c>
      <x:c r="C122" s="1" t="s">
        <x:v>1679</x:v>
      </x:c>
      <x:c r="D122" s="1" t="s">
        <x:v>1680</x:v>
      </x:c>
      <x:c r="E122" s="12"/>
    </x:row>
    <x:row r="123">
      <x:c r="A123" s="1" t="s">
        <x:v>1681</x:v>
      </x:c>
      <x:c r="B123" s="1" t="s">
        <x:v>912</x:v>
      </x:c>
      <x:c r="C123" s="1" t="s">
        <x:v>1682</x:v>
      </x:c>
      <x:c r="D123" s="1" t="s">
        <x:v>1683</x:v>
      </x:c>
      <x:c r="E123" s="12"/>
    </x:row>
    <x:row r="124">
      <x:c r="A124" s="1" t="s">
        <x:v>1684</x:v>
      </x:c>
      <x:c r="B124" s="1" t="s">
        <x:v>912</x:v>
      </x:c>
      <x:c r="C124" s="1" t="s">
        <x:v>1685</x:v>
      </x:c>
      <x:c r="D124" s="1" t="s">
        <x:v>1686</x:v>
      </x:c>
      <x:c r="E124" s="12"/>
    </x:row>
    <x:row r="125">
      <x:c r="A125" s="1" t="s">
        <x:v>1687</x:v>
      </x:c>
      <x:c r="B125" s="1" t="s">
        <x:v>912</x:v>
      </x:c>
      <x:c r="C125" s="1" t="s">
        <x:v>1688</x:v>
      </x:c>
      <x:c r="D125" s="1" t="s">
        <x:v>1689</x:v>
      </x:c>
      <x:c r="E125" s="12"/>
    </x:row>
    <x:row r="126">
      <x:c r="A126" s="1" t="s">
        <x:v>1690</x:v>
      </x:c>
      <x:c r="B126" s="1" t="s">
        <x:v>912</x:v>
      </x:c>
      <x:c r="C126" s="1" t="s">
        <x:v>1691</x:v>
      </x:c>
      <x:c r="D126" s="1" t="s">
        <x:v>1692</x:v>
      </x:c>
      <x:c r="E126" s="12"/>
    </x:row>
    <x:row r="127">
      <x:c r="A127" s="1" t="s">
        <x:v>1693</x:v>
      </x:c>
      <x:c r="B127" s="1" t="s">
        <x:v>912</x:v>
      </x:c>
      <x:c r="C127" s="1" t="s">
        <x:v>1694</x:v>
      </x:c>
      <x:c r="D127" s="1" t="s">
        <x:v>1695</x:v>
      </x:c>
      <x:c r="E127" s="12"/>
    </x:row>
    <x:row r="128">
      <x:c r="A128" s="1" t="s">
        <x:v>1696</x:v>
      </x:c>
      <x:c r="B128" s="1" t="s">
        <x:v>912</x:v>
      </x:c>
      <x:c r="C128" s="1" t="s">
        <x:v>1697</x:v>
      </x:c>
      <x:c r="D128" s="1" t="s">
        <x:v>1698</x:v>
      </x:c>
      <x:c r="E128" s="12"/>
    </x:row>
    <x:row r="129">
      <x:c r="A129" s="1" t="s">
        <x:v>1699</x:v>
      </x:c>
      <x:c r="B129" s="1" t="s">
        <x:v>912</x:v>
      </x:c>
      <x:c r="C129" s="1" t="s">
        <x:v>1700</x:v>
      </x:c>
      <x:c r="D129" s="1" t="s">
        <x:v>1701</x:v>
      </x:c>
      <x:c r="E129" s="12"/>
    </x:row>
    <x:row r="130">
      <x:c r="A130" s="1" t="s">
        <x:v>1702</x:v>
      </x:c>
      <x:c r="B130" s="1" t="s">
        <x:v>912</x:v>
      </x:c>
      <x:c r="C130" s="1" t="s">
        <x:v>1703</x:v>
      </x:c>
      <x:c r="D130" s="1" t="s">
        <x:v>1704</x:v>
      </x:c>
      <x:c r="E130" s="12"/>
    </x:row>
    <x:row r="131">
      <x:c r="A131" s="1" t="s">
        <x:v>1705</x:v>
      </x:c>
      <x:c r="B131" s="1" t="s">
        <x:v>916</x:v>
      </x:c>
      <x:c r="C131" s="1" t="s">
        <x:v>1706</x:v>
      </x:c>
      <x:c r="D131" s="1" t="s">
        <x:v>1707</x:v>
      </x:c>
      <x:c r="E131" s="12"/>
    </x:row>
    <x:row r="132">
      <x:c r="A132" s="1" t="s">
        <x:v>1708</x:v>
      </x:c>
      <x:c r="B132" s="1" t="s">
        <x:v>916</x:v>
      </x:c>
      <x:c r="C132" s="1" t="s">
        <x:v>1709</x:v>
      </x:c>
      <x:c r="D132" s="1" t="s">
        <x:v>1710</x:v>
      </x:c>
      <x:c r="E132" s="12"/>
    </x:row>
    <x:row r="133">
      <x:c r="A133" s="1" t="s">
        <x:v>1711</x:v>
      </x:c>
      <x:c r="B133" s="1" t="s">
        <x:v>916</x:v>
      </x:c>
      <x:c r="C133" s="1" t="s">
        <x:v>1712</x:v>
      </x:c>
      <x:c r="D133" s="1" t="s">
        <x:v>1713</x:v>
      </x:c>
      <x:c r="E133" s="12"/>
    </x:row>
    <x:row r="134">
      <x:c r="A134" s="1" t="s">
        <x:v>1714</x:v>
      </x:c>
      <x:c r="B134" s="1" t="s">
        <x:v>916</x:v>
      </x:c>
      <x:c r="C134" s="1" t="s">
        <x:v>1685</x:v>
      </x:c>
      <x:c r="D134" s="1" t="s">
        <x:v>1715</x:v>
      </x:c>
      <x:c r="E134" s="12"/>
    </x:row>
    <x:row r="135">
      <x:c r="A135" s="1" t="s">
        <x:v>1716</x:v>
      </x:c>
      <x:c r="B135" s="1" t="s">
        <x:v>916</x:v>
      </x:c>
      <x:c r="C135" s="1" t="s">
        <x:v>1717</x:v>
      </x:c>
      <x:c r="D135" s="1" t="s">
        <x:v>1718</x:v>
      </x:c>
      <x:c r="E135" s="12"/>
    </x:row>
    <x:row r="136">
      <x:c r="A136" s="1" t="s">
        <x:v>1719</x:v>
      </x:c>
      <x:c r="B136" s="1" t="s">
        <x:v>916</x:v>
      </x:c>
      <x:c r="C136" s="1" t="s">
        <x:v>1720</x:v>
      </x:c>
      <x:c r="D136" s="1" t="s">
        <x:v>1721</x:v>
      </x:c>
      <x:c r="E136" s="12"/>
    </x:row>
    <x:row r="137">
      <x:c r="A137" s="1" t="s">
        <x:v>1722</x:v>
      </x:c>
      <x:c r="B137" s="1" t="s">
        <x:v>916</x:v>
      </x:c>
      <x:c r="C137" s="1" t="s">
        <x:v>1723</x:v>
      </x:c>
      <x:c r="D137" s="1" t="s">
        <x:v>1724</x:v>
      </x:c>
      <x:c r="E137" s="12"/>
    </x:row>
    <x:row r="138">
      <x:c r="A138" s="1" t="s">
        <x:v>1725</x:v>
      </x:c>
      <x:c r="B138" s="1" t="s">
        <x:v>916</x:v>
      </x:c>
      <x:c r="C138" s="1" t="s">
        <x:v>1726</x:v>
      </x:c>
      <x:c r="D138" s="1" t="s">
        <x:v>1727</x:v>
      </x:c>
      <x:c r="E138" s="12"/>
    </x:row>
    <x:row r="139">
      <x:c r="A139" s="1" t="s">
        <x:v>1728</x:v>
      </x:c>
      <x:c r="B139" s="1" t="s">
        <x:v>918</x:v>
      </x:c>
      <x:c r="C139" s="1" t="s">
        <x:v>1729</x:v>
      </x:c>
      <x:c r="D139" s="1" t="s">
        <x:v>1730</x:v>
      </x:c>
      <x:c r="E139" s="12"/>
    </x:row>
    <x:row r="140">
      <x:c r="A140" s="1" t="s">
        <x:v>1731</x:v>
      </x:c>
      <x:c r="B140" s="1" t="s">
        <x:v>918</x:v>
      </x:c>
      <x:c r="C140" s="1" t="s">
        <x:v>1732</x:v>
      </x:c>
      <x:c r="D140" s="1" t="s">
        <x:v>1733</x:v>
      </x:c>
      <x:c r="E140" s="12"/>
    </x:row>
    <x:row r="141">
      <x:c r="A141" s="1" t="s">
        <x:v>1734</x:v>
      </x:c>
      <x:c r="B141" s="1" t="s">
        <x:v>918</x:v>
      </x:c>
      <x:c r="C141" s="1" t="s">
        <x:v>1735</x:v>
      </x:c>
      <x:c r="D141" s="1" t="s">
        <x:v>1736</x:v>
      </x:c>
      <x:c r="E141" s="12"/>
    </x:row>
    <x:row r="142">
      <x:c r="A142" s="1" t="s">
        <x:v>1737</x:v>
      </x:c>
      <x:c r="B142" s="1" t="s">
        <x:v>918</x:v>
      </x:c>
      <x:c r="C142" s="1" t="s">
        <x:v>1685</x:v>
      </x:c>
      <x:c r="D142" s="1" t="s">
        <x:v>1738</x:v>
      </x:c>
      <x:c r="E142" s="12"/>
    </x:row>
    <x:row r="143">
      <x:c r="A143" s="1" t="s">
        <x:v>1739</x:v>
      </x:c>
      <x:c r="B143" s="1" t="s">
        <x:v>918</x:v>
      </x:c>
      <x:c r="C143" s="1" t="s">
        <x:v>1740</x:v>
      </x:c>
      <x:c r="D143" s="1" t="s">
        <x:v>1741</x:v>
      </x:c>
      <x:c r="E143" s="12"/>
    </x:row>
    <x:row r="144">
      <x:c r="A144" s="1" t="s">
        <x:v>1742</x:v>
      </x:c>
      <x:c r="B144" s="1" t="s">
        <x:v>918</x:v>
      </x:c>
      <x:c r="C144" s="1" t="s">
        <x:v>1743</x:v>
      </x:c>
      <x:c r="D144" s="1" t="s">
        <x:v>1744</x:v>
      </x:c>
      <x:c r="E144" s="12"/>
    </x:row>
    <x:row r="145">
      <x:c r="A145" s="1" t="s">
        <x:v>1745</x:v>
      </x:c>
      <x:c r="B145" s="1" t="s">
        <x:v>918</x:v>
      </x:c>
      <x:c r="C145" s="1" t="s">
        <x:v>1746</x:v>
      </x:c>
      <x:c r="D145" s="1" t="s">
        <x:v>1747</x:v>
      </x:c>
      <x:c r="E145" s="12"/>
    </x:row>
    <x:row r="146">
      <x:c r="A146" s="1" t="s">
        <x:v>1748</x:v>
      </x:c>
      <x:c r="B146" s="1" t="s">
        <x:v>918</x:v>
      </x:c>
      <x:c r="C146" s="1" t="s">
        <x:v>1712</x:v>
      </x:c>
      <x:c r="D146" s="1" t="s">
        <x:v>1713</x:v>
      </x:c>
      <x:c r="E146" s="12"/>
    </x:row>
    <x:row r="147">
      <x:c r="A147" s="1" t="s">
        <x:v>1749</x:v>
      </x:c>
      <x:c r="B147" s="1" t="s">
        <x:v>920</x:v>
      </x:c>
      <x:c r="C147" s="1" t="s">
        <x:v>1750</x:v>
      </x:c>
      <x:c r="D147" s="1" t="s">
        <x:v>1751</x:v>
      </x:c>
      <x:c r="E147" s="12"/>
    </x:row>
    <x:row r="148">
      <x:c r="A148" s="1" t="s">
        <x:v>1752</x:v>
      </x:c>
      <x:c r="B148" s="1" t="s">
        <x:v>920</x:v>
      </x:c>
      <x:c r="C148" s="1" t="s">
        <x:v>1723</x:v>
      </x:c>
      <x:c r="D148" s="1" t="s">
        <x:v>1753</x:v>
      </x:c>
      <x:c r="E148" s="12"/>
    </x:row>
    <x:row r="149">
      <x:c r="A149" s="1" t="s">
        <x:v>1754</x:v>
      </x:c>
      <x:c r="B149" s="1" t="s">
        <x:v>920</x:v>
      </x:c>
      <x:c r="C149" s="1" t="s">
        <x:v>1709</x:v>
      </x:c>
      <x:c r="D149" s="1" t="s">
        <x:v>1755</x:v>
      </x:c>
      <x:c r="E149" s="12"/>
    </x:row>
    <x:row r="150">
      <x:c r="A150" s="1" t="s">
        <x:v>1756</x:v>
      </x:c>
      <x:c r="B150" s="1" t="s">
        <x:v>920</x:v>
      </x:c>
      <x:c r="C150" s="1" t="s">
        <x:v>1685</x:v>
      </x:c>
      <x:c r="D150" s="1" t="s">
        <x:v>1757</x:v>
      </x:c>
      <x:c r="E150" s="12"/>
    </x:row>
    <x:row r="151">
      <x:c r="A151" s="1" t="s">
        <x:v>1758</x:v>
      </x:c>
      <x:c r="B151" s="1" t="s">
        <x:v>920</x:v>
      </x:c>
      <x:c r="C151" s="1" t="s">
        <x:v>1759</x:v>
      </x:c>
      <x:c r="D151" s="1" t="s">
        <x:v>1760</x:v>
      </x:c>
      <x:c r="E151" s="12"/>
    </x:row>
    <x:row r="152">
      <x:c r="A152" s="1" t="s">
        <x:v>1761</x:v>
      </x:c>
      <x:c r="B152" s="1" t="s">
        <x:v>920</x:v>
      </x:c>
      <x:c r="C152" s="1" t="s">
        <x:v>1762</x:v>
      </x:c>
      <x:c r="D152" s="1" t="s">
        <x:v>1763</x:v>
      </x:c>
      <x:c r="E152" s="12"/>
    </x:row>
    <x:row r="153">
      <x:c r="A153" s="1" t="s">
        <x:v>1764</x:v>
      </x:c>
      <x:c r="B153" s="1" t="s">
        <x:v>920</x:v>
      </x:c>
      <x:c r="C153" s="1" t="s">
        <x:v>1765</x:v>
      </x:c>
      <x:c r="D153" s="1" t="s">
        <x:v>1766</x:v>
      </x:c>
      <x:c r="E153" s="12"/>
    </x:row>
    <x:row r="154">
      <x:c r="A154" s="1" t="s">
        <x:v>1767</x:v>
      </x:c>
      <x:c r="B154" s="1" t="s">
        <x:v>920</x:v>
      </x:c>
      <x:c r="C154" s="1" t="s">
        <x:v>1712</x:v>
      </x:c>
      <x:c r="D154" s="1" t="s">
        <x:v>1713</x:v>
      </x:c>
      <x:c r="E154" s="12"/>
    </x:row>
    <x:row r="155">
      <x:c r="A155" s="1" t="s">
        <x:v>1768</x:v>
      </x:c>
      <x:c r="B155" s="1" t="s">
        <x:v>922</x:v>
      </x:c>
      <x:c r="C155" s="1" t="s">
        <x:v>1769</x:v>
      </x:c>
      <x:c r="D155" s="1" t="s">
        <x:v>1770</x:v>
      </x:c>
      <x:c r="E155" s="12"/>
    </x:row>
    <x:row r="156">
      <x:c r="A156" s="1" t="s">
        <x:v>1771</x:v>
      </x:c>
      <x:c r="B156" s="1" t="s">
        <x:v>922</x:v>
      </x:c>
      <x:c r="C156" s="1" t="s">
        <x:v>1772</x:v>
      </x:c>
      <x:c r="D156" s="1" t="s">
        <x:v>1683</x:v>
      </x:c>
      <x:c r="E156" s="12"/>
    </x:row>
    <x:row r="157">
      <x:c r="A157" s="1" t="s">
        <x:v>1773</x:v>
      </x:c>
      <x:c r="B157" s="1" t="s">
        <x:v>922</x:v>
      </x:c>
      <x:c r="C157" s="1" t="s">
        <x:v>1712</x:v>
      </x:c>
      <x:c r="D157" s="1" t="s">
        <x:v>1713</x:v>
      </x:c>
      <x:c r="E157" s="12"/>
    </x:row>
    <x:row r="158">
      <x:c r="A158" s="1" t="s">
        <x:v>1774</x:v>
      </x:c>
      <x:c r="B158" s="1" t="s">
        <x:v>922</x:v>
      </x:c>
      <x:c r="C158" s="1" t="s">
        <x:v>1685</x:v>
      </x:c>
      <x:c r="D158" s="1" t="s">
        <x:v>1775</x:v>
      </x:c>
      <x:c r="E158" s="12"/>
    </x:row>
    <x:row r="159">
      <x:c r="A159" s="1" t="s">
        <x:v>1776</x:v>
      </x:c>
      <x:c r="B159" s="1" t="s">
        <x:v>922</x:v>
      </x:c>
      <x:c r="C159" s="1" t="s">
        <x:v>1740</x:v>
      </x:c>
      <x:c r="D159" s="1" t="s">
        <x:v>1777</x:v>
      </x:c>
      <x:c r="E159" s="12"/>
    </x:row>
    <x:row r="160">
      <x:c r="A160" s="1" t="s">
        <x:v>1778</x:v>
      </x:c>
      <x:c r="B160" s="1" t="s">
        <x:v>922</x:v>
      </x:c>
      <x:c r="C160" s="1" t="s">
        <x:v>1720</x:v>
      </x:c>
      <x:c r="D160" s="1" t="s">
        <x:v>1779</x:v>
      </x:c>
      <x:c r="E160" s="12"/>
    </x:row>
    <x:row r="161">
      <x:c r="A161" s="1" t="s">
        <x:v>1780</x:v>
      </x:c>
      <x:c r="B161" s="1" t="s">
        <x:v>922</x:v>
      </x:c>
      <x:c r="C161" s="1" t="s">
        <x:v>1746</x:v>
      </x:c>
      <x:c r="D161" s="1" t="s">
        <x:v>1781</x:v>
      </x:c>
      <x:c r="E161" s="12"/>
    </x:row>
    <x:row r="162">
      <x:c r="A162" s="1" t="s">
        <x:v>1782</x:v>
      </x:c>
      <x:c r="B162" s="1" t="s">
        <x:v>922</x:v>
      </x:c>
      <x:c r="C162" s="1" t="s">
        <x:v>1783</x:v>
      </x:c>
      <x:c r="D162" s="1" t="s">
        <x:v>1784</x:v>
      </x:c>
      <x:c r="E162" s="12"/>
    </x:row>
    <x:row r="163">
      <x:c r="A163" s="1" t="s">
        <x:v>1785</x:v>
      </x:c>
      <x:c r="B163" s="1" t="s">
        <x:v>924</x:v>
      </x:c>
      <x:c r="C163" s="1" t="s">
        <x:v>1786</x:v>
      </x:c>
      <x:c r="D163" s="1" t="s">
        <x:v>1787</x:v>
      </x:c>
      <x:c r="E163" s="12"/>
    </x:row>
    <x:row r="164">
      <x:c r="A164" s="1" t="s">
        <x:v>1788</x:v>
      </x:c>
      <x:c r="B164" s="1" t="s">
        <x:v>924</x:v>
      </x:c>
      <x:c r="C164" s="1" t="s">
        <x:v>1789</x:v>
      </x:c>
      <x:c r="D164" s="1" t="s">
        <x:v>1790</x:v>
      </x:c>
      <x:c r="E164" s="12"/>
    </x:row>
    <x:row r="165">
      <x:c r="A165" s="1" t="s">
        <x:v>1791</x:v>
      </x:c>
      <x:c r="B165" s="1" t="s">
        <x:v>924</x:v>
      </x:c>
      <x:c r="C165" s="1" t="s">
        <x:v>1712</x:v>
      </x:c>
      <x:c r="D165" s="1" t="s">
        <x:v>1713</x:v>
      </x:c>
      <x:c r="E165" s="12"/>
    </x:row>
    <x:row r="166">
      <x:c r="A166" s="1" t="s">
        <x:v>1792</x:v>
      </x:c>
      <x:c r="B166" s="1" t="s">
        <x:v>924</x:v>
      </x:c>
      <x:c r="C166" s="1" t="s">
        <x:v>1793</x:v>
      </x:c>
      <x:c r="D166" s="1" t="s">
        <x:v>1794</x:v>
      </x:c>
      <x:c r="E166" s="12"/>
    </x:row>
    <x:row r="167">
      <x:c r="A167" s="1" t="s">
        <x:v>1795</x:v>
      </x:c>
      <x:c r="B167" s="1" t="s">
        <x:v>924</x:v>
      </x:c>
      <x:c r="C167" s="1" t="s">
        <x:v>1796</x:v>
      </x:c>
      <x:c r="D167" s="1" t="s">
        <x:v>1797</x:v>
      </x:c>
      <x:c r="E167" s="12"/>
    </x:row>
    <x:row r="168">
      <x:c r="A168" s="1" t="s">
        <x:v>1798</x:v>
      </x:c>
      <x:c r="B168" s="1" t="s">
        <x:v>924</x:v>
      </x:c>
      <x:c r="C168" s="1" t="s">
        <x:v>1799</x:v>
      </x:c>
      <x:c r="D168" s="1" t="s">
        <x:v>1800</x:v>
      </x:c>
      <x:c r="E168" s="12"/>
    </x:row>
    <x:row r="169">
      <x:c r="A169" s="1" t="s">
        <x:v>1801</x:v>
      </x:c>
      <x:c r="B169" s="1" t="s">
        <x:v>924</x:v>
      </x:c>
      <x:c r="C169" s="1" t="s">
        <x:v>1709</x:v>
      </x:c>
      <x:c r="D169" s="1" t="s">
        <x:v>1802</x:v>
      </x:c>
      <x:c r="E169" s="12"/>
    </x:row>
    <x:row r="170">
      <x:c r="A170" s="1" t="s">
        <x:v>1803</x:v>
      </x:c>
      <x:c r="B170" s="1" t="s">
        <x:v>924</x:v>
      </x:c>
      <x:c r="C170" s="1" t="s">
        <x:v>1685</x:v>
      </x:c>
      <x:c r="D170" s="1" t="s">
        <x:v>1804</x:v>
      </x:c>
      <x:c r="E170" s="12"/>
    </x:row>
    <x:row r="171">
      <x:c r="A171" s="1" t="s">
        <x:v>1805</x:v>
      </x:c>
      <x:c r="B171" s="1" t="s">
        <x:v>926</x:v>
      </x:c>
      <x:c r="C171" s="1" t="s">
        <x:v>1806</x:v>
      </x:c>
      <x:c r="D171" s="1" t="s">
        <x:v>1807</x:v>
      </x:c>
      <x:c r="E171" s="12"/>
    </x:row>
    <x:row r="172">
      <x:c r="A172" s="1" t="s">
        <x:v>1808</x:v>
      </x:c>
      <x:c r="B172" s="1" t="s">
        <x:v>926</x:v>
      </x:c>
      <x:c r="C172" s="1" t="s">
        <x:v>1809</x:v>
      </x:c>
      <x:c r="D172" s="1" t="s">
        <x:v>1810</x:v>
      </x:c>
      <x:c r="E172" s="12"/>
    </x:row>
    <x:row r="173">
      <x:c r="A173" s="1" t="s">
        <x:v>1811</x:v>
      </x:c>
      <x:c r="B173" s="1" t="s">
        <x:v>926</x:v>
      </x:c>
      <x:c r="C173" s="1" t="s">
        <x:v>1812</x:v>
      </x:c>
      <x:c r="D173" s="1" t="s">
        <x:v>1813</x:v>
      </x:c>
      <x:c r="E173" s="12"/>
    </x:row>
    <x:row r="174">
      <x:c r="A174" s="1" t="s">
        <x:v>1814</x:v>
      </x:c>
      <x:c r="B174" s="1" t="s">
        <x:v>926</x:v>
      </x:c>
      <x:c r="C174" s="1" t="s">
        <x:v>1712</x:v>
      </x:c>
      <x:c r="D174" s="1" t="s">
        <x:v>1815</x:v>
      </x:c>
      <x:c r="E174" s="12"/>
    </x:row>
    <x:row r="175">
      <x:c r="A175" s="1" t="s">
        <x:v>1816</x:v>
      </x:c>
      <x:c r="B175" s="1" t="s">
        <x:v>926</x:v>
      </x:c>
      <x:c r="C175" s="1" t="s">
        <x:v>1817</x:v>
      </x:c>
      <x:c r="D175" s="1" t="s">
        <x:v>1787</x:v>
      </x:c>
      <x:c r="E175" s="12"/>
    </x:row>
    <x:row r="176">
      <x:c r="A176" s="1" t="s">
        <x:v>1818</x:v>
      </x:c>
      <x:c r="B176" s="1" t="s">
        <x:v>926</x:v>
      </x:c>
      <x:c r="C176" s="1" t="s">
        <x:v>1819</x:v>
      </x:c>
      <x:c r="D176" s="1" t="s">
        <x:v>1820</x:v>
      </x:c>
      <x:c r="E176" s="12"/>
    </x:row>
    <x:row r="177">
      <x:c r="A177" s="1" t="s">
        <x:v>1821</x:v>
      </x:c>
      <x:c r="B177" s="1" t="s">
        <x:v>926</x:v>
      </x:c>
      <x:c r="C177" s="1" t="s">
        <x:v>1709</x:v>
      </x:c>
      <x:c r="D177" s="1" t="s">
        <x:v>1802</x:v>
      </x:c>
      <x:c r="E177" s="12"/>
    </x:row>
    <x:row r="178">
      <x:c r="A178" s="1" t="s">
        <x:v>1822</x:v>
      </x:c>
      <x:c r="B178" s="1" t="s">
        <x:v>926</x:v>
      </x:c>
      <x:c r="C178" s="1" t="s">
        <x:v>1793</x:v>
      </x:c>
      <x:c r="D178" s="1" t="s">
        <x:v>1794</x:v>
      </x:c>
      <x:c r="E178" s="12"/>
    </x:row>
    <x:row r="179">
      <x:c r="A179" s="1" t="s">
        <x:v>1823</x:v>
      </x:c>
      <x:c r="B179" s="1" t="s">
        <x:v>928</x:v>
      </x:c>
      <x:c r="C179" s="1" t="s">
        <x:v>1712</x:v>
      </x:c>
      <x:c r="D179" s="1" t="s">
        <x:v>1713</x:v>
      </x:c>
      <x:c r="E179" s="12"/>
    </x:row>
    <x:row r="180">
      <x:c r="A180" s="1" t="s">
        <x:v>1824</x:v>
      </x:c>
      <x:c r="B180" s="1" t="s">
        <x:v>928</x:v>
      </x:c>
      <x:c r="C180" s="1" t="s">
        <x:v>1825</x:v>
      </x:c>
      <x:c r="D180" s="1" t="s">
        <x:v>1826</x:v>
      </x:c>
      <x:c r="E180" s="12"/>
    </x:row>
    <x:row r="181">
      <x:c r="A181" s="1" t="s">
        <x:v>1827</x:v>
      </x:c>
      <x:c r="B181" s="1" t="s">
        <x:v>928</x:v>
      </x:c>
      <x:c r="C181" s="1" t="s">
        <x:v>1828</x:v>
      </x:c>
      <x:c r="D181" s="1" t="s">
        <x:v>1829</x:v>
      </x:c>
      <x:c r="E181" s="12"/>
    </x:row>
    <x:row r="182">
      <x:c r="A182" s="1" t="s">
        <x:v>1830</x:v>
      </x:c>
      <x:c r="B182" s="1" t="s">
        <x:v>928</x:v>
      </x:c>
      <x:c r="C182" s="1" t="s">
        <x:v>1685</x:v>
      </x:c>
      <x:c r="D182" s="1" t="s">
        <x:v>1715</x:v>
      </x:c>
      <x:c r="E182" s="12"/>
    </x:row>
    <x:row r="183">
      <x:c r="A183" s="1" t="s">
        <x:v>1831</x:v>
      </x:c>
      <x:c r="B183" s="1" t="s">
        <x:v>928</x:v>
      </x:c>
      <x:c r="C183" s="1" t="s">
        <x:v>1832</x:v>
      </x:c>
      <x:c r="D183" s="1" t="s">
        <x:v>1833</x:v>
      </x:c>
      <x:c r="E183" s="12"/>
    </x:row>
    <x:row r="184">
      <x:c r="A184" s="1" t="s">
        <x:v>1834</x:v>
      </x:c>
      <x:c r="B184" s="1" t="s">
        <x:v>928</x:v>
      </x:c>
      <x:c r="C184" s="1" t="s">
        <x:v>1835</x:v>
      </x:c>
      <x:c r="D184" s="1" t="s">
        <x:v>1836</x:v>
      </x:c>
      <x:c r="E184" s="12"/>
    </x:row>
    <x:row r="185">
      <x:c r="A185" s="1" t="s">
        <x:v>1837</x:v>
      </x:c>
      <x:c r="B185" s="1" t="s">
        <x:v>928</x:v>
      </x:c>
      <x:c r="C185" s="1" t="s">
        <x:v>1838</x:v>
      </x:c>
      <x:c r="D185" s="1" t="s">
        <x:v>1839</x:v>
      </x:c>
      <x:c r="E185" s="12"/>
    </x:row>
    <x:row r="186">
      <x:c r="A186" s="1" t="s">
        <x:v>1840</x:v>
      </x:c>
      <x:c r="B186" s="1" t="s">
        <x:v>928</x:v>
      </x:c>
      <x:c r="C186" s="1" t="s">
        <x:v>1841</x:v>
      </x:c>
      <x:c r="D186" s="1" t="s">
        <x:v>1842</x:v>
      </x:c>
      <x:c r="E186" s="12"/>
    </x:row>
    <x:row r="187">
      <x:c r="A187" s="1" t="s">
        <x:v>1843</x:v>
      </x:c>
      <x:c r="B187" s="1" t="s">
        <x:v>930</x:v>
      </x:c>
      <x:c r="C187" s="1" t="s">
        <x:v>1844</x:v>
      </x:c>
      <x:c r="D187" s="1" t="s">
        <x:v>1845</x:v>
      </x:c>
      <x:c r="E187" s="12"/>
    </x:row>
    <x:row r="188">
      <x:c r="A188" s="1" t="s">
        <x:v>1846</x:v>
      </x:c>
      <x:c r="B188" s="1" t="s">
        <x:v>930</x:v>
      </x:c>
      <x:c r="C188" s="1" t="s">
        <x:v>1847</x:v>
      </x:c>
      <x:c r="D188" s="1" t="s">
        <x:v>1848</x:v>
      </x:c>
      <x:c r="E188" s="12"/>
    </x:row>
    <x:row r="189">
      <x:c r="A189" s="1" t="s">
        <x:v>1849</x:v>
      </x:c>
      <x:c r="B189" s="1" t="s">
        <x:v>930</x:v>
      </x:c>
      <x:c r="C189" s="1" t="s">
        <x:v>1850</x:v>
      </x:c>
      <x:c r="D189" s="1" t="s">
        <x:v>1851</x:v>
      </x:c>
      <x:c r="E189" s="12"/>
    </x:row>
    <x:row r="190">
      <x:c r="A190" s="1" t="s">
        <x:v>1852</x:v>
      </x:c>
      <x:c r="B190" s="1" t="s">
        <x:v>930</x:v>
      </x:c>
      <x:c r="C190" s="1" t="s">
        <x:v>1685</x:v>
      </x:c>
      <x:c r="D190" s="1" t="s">
        <x:v>1853</x:v>
      </x:c>
      <x:c r="E190" s="12"/>
    </x:row>
    <x:row r="191">
      <x:c r="A191" s="1" t="s">
        <x:v>1854</x:v>
      </x:c>
      <x:c r="B191" s="1" t="s">
        <x:v>930</x:v>
      </x:c>
      <x:c r="C191" s="1" t="s">
        <x:v>1855</x:v>
      </x:c>
      <x:c r="D191" s="1" t="s">
        <x:v>1856</x:v>
      </x:c>
      <x:c r="E191" s="12"/>
    </x:row>
    <x:row r="192">
      <x:c r="A192" s="1" t="s">
        <x:v>1857</x:v>
      </x:c>
      <x:c r="B192" s="1" t="s">
        <x:v>930</x:v>
      </x:c>
      <x:c r="C192" s="1" t="s">
        <x:v>1858</x:v>
      </x:c>
      <x:c r="D192" s="1" t="s">
        <x:v>1859</x:v>
      </x:c>
      <x:c r="E192" s="12"/>
    </x:row>
    <x:row r="193">
      <x:c r="A193" s="1" t="s">
        <x:v>1860</x:v>
      </x:c>
      <x:c r="B193" s="1" t="s">
        <x:v>930</x:v>
      </x:c>
      <x:c r="C193" s="1" t="s">
        <x:v>1861</x:v>
      </x:c>
      <x:c r="D193" s="1" t="s">
        <x:v>1862</x:v>
      </x:c>
      <x:c r="E193" s="12"/>
    </x:row>
    <x:row r="194">
      <x:c r="A194" s="1" t="s">
        <x:v>1863</x:v>
      </x:c>
      <x:c r="B194" s="1" t="s">
        <x:v>930</x:v>
      </x:c>
      <x:c r="C194" s="1" t="s">
        <x:v>1864</x:v>
      </x:c>
      <x:c r="D194" s="1" t="s">
        <x:v>1865</x:v>
      </x:c>
      <x:c r="E194" s="12"/>
    </x:row>
    <x:row r="195">
      <x:c r="A195" s="1" t="s">
        <x:v>1866</x:v>
      </x:c>
      <x:c r="B195" s="1" t="s">
        <x:v>932</x:v>
      </x:c>
      <x:c r="C195" s="1" t="s">
        <x:v>1867</x:v>
      </x:c>
      <x:c r="D195" s="1" t="s">
        <x:v>1868</x:v>
      </x:c>
      <x:c r="E195" s="12"/>
    </x:row>
    <x:row r="196">
      <x:c r="A196" s="1" t="s">
        <x:v>1869</x:v>
      </x:c>
      <x:c r="B196" s="1" t="s">
        <x:v>932</x:v>
      </x:c>
      <x:c r="C196" s="1" t="s">
        <x:v>1870</x:v>
      </x:c>
      <x:c r="D196" s="1" t="s">
        <x:v>1871</x:v>
      </x:c>
      <x:c r="E196" s="12"/>
    </x:row>
    <x:row r="197">
      <x:c r="A197" s="1" t="s">
        <x:v>1872</x:v>
      </x:c>
      <x:c r="B197" s="1" t="s">
        <x:v>932</x:v>
      </x:c>
      <x:c r="C197" s="1" t="s">
        <x:v>1873</x:v>
      </x:c>
      <x:c r="D197" s="1" t="s">
        <x:v>1874</x:v>
      </x:c>
      <x:c r="E197" s="12"/>
    </x:row>
    <x:row r="198">
      <x:c r="A198" s="1" t="s">
        <x:v>1875</x:v>
      </x:c>
      <x:c r="B198" s="1" t="s">
        <x:v>932</x:v>
      </x:c>
      <x:c r="C198" s="1" t="s">
        <x:v>1685</x:v>
      </x:c>
      <x:c r="D198" s="1" t="s">
        <x:v>1876</x:v>
      </x:c>
      <x:c r="E198" s="12"/>
    </x:row>
    <x:row r="199">
      <x:c r="A199" s="1" t="s">
        <x:v>1877</x:v>
      </x:c>
      <x:c r="B199" s="1" t="s">
        <x:v>932</x:v>
      </x:c>
      <x:c r="C199" s="1" t="s">
        <x:v>1878</x:v>
      </x:c>
      <x:c r="D199" s="1" t="s">
        <x:v>1879</x:v>
      </x:c>
      <x:c r="E199" s="12"/>
    </x:row>
    <x:row r="200">
      <x:c r="A200" s="1" t="s">
        <x:v>1880</x:v>
      </x:c>
      <x:c r="B200" s="1" t="s">
        <x:v>932</x:v>
      </x:c>
      <x:c r="C200" s="1" t="s">
        <x:v>1881</x:v>
      </x:c>
      <x:c r="D200" s="1" t="s">
        <x:v>1882</x:v>
      </x:c>
      <x:c r="E200" s="12"/>
    </x:row>
    <x:row r="201">
      <x:c r="A201" s="1" t="s">
        <x:v>1883</x:v>
      </x:c>
      <x:c r="B201" s="1" t="s">
        <x:v>932</x:v>
      </x:c>
      <x:c r="C201" s="1" t="s">
        <x:v>1712</x:v>
      </x:c>
      <x:c r="D201" s="1" t="s">
        <x:v>1845</x:v>
      </x:c>
      <x:c r="E201" s="12"/>
    </x:row>
    <x:row r="202">
      <x:c r="A202" s="1" t="s">
        <x:v>1884</x:v>
      </x:c>
      <x:c r="B202" s="1" t="s">
        <x:v>932</x:v>
      </x:c>
      <x:c r="C202" s="1" t="s">
        <x:v>1885</x:v>
      </x:c>
      <x:c r="D202" s="1" t="s">
        <x:v>1886</x:v>
      </x:c>
      <x:c r="E202" s="12"/>
    </x:row>
    <x:row r="203">
      <x:c r="A203" s="1" t="s">
        <x:v>1887</x:v>
      </x:c>
      <x:c r="B203" s="1" t="s">
        <x:v>934</x:v>
      </x:c>
      <x:c r="C203" s="1">
        <x:v>0.0</x:v>
      </x:c>
      <x:c r="D203" s="1" t="s">
        <x:v>1888</x:v>
      </x:c>
      <x:c r="E203" s="12"/>
    </x:row>
    <x:row r="204">
      <x:c r="A204" s="1" t="s">
        <x:v>1889</x:v>
      </x:c>
      <x:c r="B204" s="1" t="s">
        <x:v>934</x:v>
      </x:c>
      <x:c r="C204" s="22">
        <x:v>46082.0</x:v>
      </x:c>
      <x:c r="D204" s="1" t="s">
        <x:v>1890</x:v>
      </x:c>
      <x:c r="E204" s="12"/>
    </x:row>
    <x:row r="205">
      <x:c r="A205" s="1" t="s">
        <x:v>1891</x:v>
      </x:c>
      <x:c r="B205" s="1" t="s">
        <x:v>934</x:v>
      </x:c>
      <x:c r="C205" s="22">
        <x:v>46177.0</x:v>
      </x:c>
      <x:c r="D205" s="1" t="s">
        <x:v>1892</x:v>
      </x:c>
      <x:c r="E205" s="12"/>
    </x:row>
    <x:row r="206">
      <x:c r="A206" s="1" t="s">
        <x:v>1893</x:v>
      </x:c>
      <x:c r="B206" s="1" t="s">
        <x:v>934</x:v>
      </x:c>
      <x:c r="C206" s="22">
        <x:v>46302.0</x:v>
      </x:c>
      <x:c r="D206" s="1" t="s">
        <x:v>1894</x:v>
      </x:c>
      <x:c r="E206" s="12"/>
    </x:row>
    <x:row r="207">
      <x:c r="A207" s="1" t="s">
        <x:v>1895</x:v>
      </x:c>
      <x:c r="B207" s="1" t="s">
        <x:v>936</x:v>
      </x:c>
      <x:c r="C207" s="1" t="s">
        <x:v>1896</x:v>
      </x:c>
      <x:c r="D207" s="1" t="s">
        <x:v>1897</x:v>
      </x:c>
      <x:c r="E207" s="12"/>
    </x:row>
    <x:row r="208">
      <x:c r="A208" s="1" t="s">
        <x:v>1898</x:v>
      </x:c>
      <x:c r="B208" s="1" t="s">
        <x:v>936</x:v>
      </x:c>
      <x:c r="C208" s="22">
        <x:v>46177.0</x:v>
      </x:c>
      <x:c r="D208" s="1" t="s">
        <x:v>1899</x:v>
      </x:c>
      <x:c r="E208" s="12"/>
    </x:row>
    <x:row r="209">
      <x:c r="A209" s="1" t="s">
        <x:v>1900</x:v>
      </x:c>
      <x:c r="B209" s="1" t="s">
        <x:v>936</x:v>
      </x:c>
      <x:c r="C209" s="22">
        <x:v>46272.0</x:v>
      </x:c>
      <x:c r="D209" s="1" t="s">
        <x:v>1901</x:v>
      </x:c>
      <x:c r="E209" s="12"/>
    </x:row>
    <x:row r="210">
      <x:c r="A210" s="1" t="s">
        <x:v>1902</x:v>
      </x:c>
      <x:c r="B210" s="1" t="s">
        <x:v>936</x:v>
      </x:c>
      <x:c r="C210" s="1">
        <x:v>10.0</x:v>
      </x:c>
      <x:c r="D210" s="1" t="s">
        <x:v>1903</x:v>
      </x:c>
      <x:c r="E210" s="12"/>
    </x:row>
    <x:row r="211">
      <x:c r="A211" s="1" t="s">
        <x:v>1904</x:v>
      </x:c>
      <x:c r="B211" s="1" t="s">
        <x:v>938</x:v>
      </x:c>
      <x:c r="C211" s="1" t="s">
        <x:v>1905</x:v>
      </x:c>
      <x:c r="D211" s="1" t="s">
        <x:v>1906</x:v>
      </x:c>
      <x:c r="E211" s="12"/>
    </x:row>
    <x:row r="212">
      <x:c r="A212" s="1" t="s">
        <x:v>1907</x:v>
      </x:c>
      <x:c r="B212" s="1" t="s">
        <x:v>938</x:v>
      </x:c>
      <x:c r="C212" s="1" t="s">
        <x:v>1908</x:v>
      </x:c>
      <x:c r="D212" s="1" t="s">
        <x:v>1909</x:v>
      </x:c>
      <x:c r="E212" s="12"/>
    </x:row>
    <x:row r="213">
      <x:c r="A213" s="1" t="s">
        <x:v>1910</x:v>
      </x:c>
      <x:c r="B213" s="1" t="s">
        <x:v>938</x:v>
      </x:c>
      <x:c r="C213" s="1" t="s">
        <x:v>1911</x:v>
      </x:c>
      <x:c r="D213" s="1" t="s">
        <x:v>1912</x:v>
      </x:c>
      <x:c r="E213" s="12"/>
    </x:row>
    <x:row r="214">
      <x:c r="A214" s="1" t="s">
        <x:v>1913</x:v>
      </x:c>
      <x:c r="B214" s="1" t="s">
        <x:v>938</x:v>
      </x:c>
      <x:c r="C214" s="1" t="s">
        <x:v>1914</x:v>
      </x:c>
      <x:c r="D214" s="1" t="s">
        <x:v>1915</x:v>
      </x:c>
      <x:c r="E214" s="12"/>
    </x:row>
    <x:row r="215">
      <x:c r="A215" s="1" t="s">
        <x:v>1916</x:v>
      </x:c>
      <x:c r="B215" s="1" t="s">
        <x:v>938</x:v>
      </x:c>
      <x:c r="C215" s="1" t="s">
        <x:v>1917</x:v>
      </x:c>
      <x:c r="D215" s="1" t="s">
        <x:v>1918</x:v>
      </x:c>
      <x:c r="E215" s="12"/>
    </x:row>
  </x:sheetData>
  <x:pageMargins left="0.7" right="0.7" top="0.75" bottom="0.75" header="0.3" footer="0.3"/>
  <x:tableParts count="1">
    <x:tablePart xmlns:r="http://schemas.openxmlformats.org/officeDocument/2006/relationships" r:id="R3b28123f4e574d27"/>
  </x:tableParts>
</x:worksheet>
</file>

<file path=xl/worksheets/sheet25.xml><?xml version="1.0" encoding="utf-8"?>
<x:worksheet xmlns:x="http://schemas.openxmlformats.org/spreadsheetml/2006/main">
  <x:sheetPr>
    <x:tabColor rgb="FFC1E4F5"/>
  </x:sheetPr>
  <x:sheetFormatPr defaultColWidth="12.630000114440918" defaultRowHeight="15.75"/>
  <x:sheetData>
    <x:row r="1">
      <x:c r="A1" s="1" t="s">
        <x:v>1919</x:v>
      </x:c>
      <x:c r="B1" s="1" t="s">
        <x:v>768</x:v>
      </x:c>
      <x:c r="C1" s="1" t="s">
        <x:v>1920</x:v>
      </x:c>
      <x:c r="D1" s="1" t="s">
        <x:v>1921</x:v>
      </x:c>
      <x:c r="E1" s="1" t="s">
        <x:v>1922</x:v>
      </x:c>
      <x:c r="F1" s="1" t="s">
        <x:v>1923</x:v>
      </x:c>
      <x:c r="G1" s="1" t="s">
        <x:v>1924</x:v>
      </x:c>
      <x:c r="H1" s="1" t="s">
        <x:v>1925</x:v>
      </x:c>
      <x:c r="I1" s="1" t="s">
        <x:v>1926</x:v>
      </x:c>
    </x:row>
    <x:row r="2">
      <x:c r="A2" s="1" t="s">
        <x:v>1927</x:v>
      </x:c>
      <x:c r="B2" s="1" t="s">
        <x:v>785</x:v>
      </x:c>
      <x:c r="C2" s="1">
        <x:v>3.0</x:v>
      </x:c>
      <x:c r="D2" s="1">
        <x:v>10.0</x:v>
      </x:c>
      <x:c r="E2" s="1" t="s">
        <x:v>1928</x:v>
      </x:c>
      <x:c r="F2" s="1" t="s">
        <x:v>1929</x:v>
      </x:c>
      <x:c r="G2" s="1" t="s">
        <x:v>1930</x:v>
      </x:c>
      <x:c r="H2" s="1" t="s">
        <x:v>1931</x:v>
      </x:c>
      <x:c r="I2" s="1" t="s">
        <x:v>1932</x:v>
      </x:c>
    </x:row>
    <x:row r="3">
      <x:c r="A3" s="1" t="s">
        <x:v>1933</x:v>
      </x:c>
      <x:c r="B3" s="1" t="s">
        <x:v>787</x:v>
      </x:c>
      <x:c r="C3" s="1">
        <x:v>2.0</x:v>
      </x:c>
      <x:c r="D3" s="1">
        <x:v>5.0</x:v>
      </x:c>
      <x:c r="E3" s="1" t="s">
        <x:v>1934</x:v>
      </x:c>
      <x:c r="F3" s="1" t="s">
        <x:v>1929</x:v>
      </x:c>
      <x:c r="G3" s="1" t="s">
        <x:v>1935</x:v>
      </x:c>
      <x:c r="H3" s="1" t="s">
        <x:v>1936</x:v>
      </x:c>
      <x:c r="I3" s="1" t="s">
        <x:v>1937</x:v>
      </x:c>
    </x:row>
    <x:row r="4">
      <x:c r="A4" s="1" t="s">
        <x:v>1938</x:v>
      </x:c>
      <x:c r="B4" s="1" t="s">
        <x:v>789</x:v>
      </x:c>
      <x:c r="C4" s="1">
        <x:v>3.0</x:v>
      </x:c>
      <x:c r="D4" s="1">
        <x:v>10.0</x:v>
      </x:c>
      <x:c r="E4" s="1" t="s">
        <x:v>1934</x:v>
      </x:c>
      <x:c r="F4" s="6">
        <x:v>46206.0</x:v>
      </x:c>
      <x:c r="G4" s="1" t="s">
        <x:v>977</x:v>
      </x:c>
      <x:c r="H4" s="1" t="s">
        <x:v>1939</x:v>
      </x:c>
      <x:c r="I4" s="1" t="s">
        <x:v>1940</x:v>
      </x:c>
    </x:row>
    <x:row r="5">
      <x:c r="A5" s="1" t="s">
        <x:v>1941</x:v>
      </x:c>
      <x:c r="B5" s="1" t="s">
        <x:v>791</x:v>
      </x:c>
      <x:c r="C5" s="1">
        <x:v>3.0</x:v>
      </x:c>
      <x:c r="D5" s="1" t="s">
        <x:v>1942</x:v>
      </x:c>
      <x:c r="E5" s="1" t="s">
        <x:v>1943</x:v>
      </x:c>
      <x:c r="F5" s="1" t="s">
        <x:v>1929</x:v>
      </x:c>
      <x:c r="G5" s="1" t="s">
        <x:v>1944</x:v>
      </x:c>
      <x:c r="H5" s="1" t="s">
        <x:v>1945</x:v>
      </x:c>
      <x:c r="I5" s="1" t="s">
        <x:v>1946</x:v>
      </x:c>
    </x:row>
    <x:row r="6">
      <x:c r="A6" s="1" t="s">
        <x:v>1947</x:v>
      </x:c>
      <x:c r="B6" s="1" t="s">
        <x:v>793</x:v>
      </x:c>
      <x:c r="C6" s="1">
        <x:v>2.0</x:v>
      </x:c>
      <x:c r="D6" s="1">
        <x:v>10.0</x:v>
      </x:c>
      <x:c r="E6" s="1" t="s">
        <x:v>1934</x:v>
      </x:c>
      <x:c r="F6" s="1" t="s">
        <x:v>1929</x:v>
      </x:c>
      <x:c r="G6" s="1" t="s">
        <x:v>1948</x:v>
      </x:c>
      <x:c r="H6" s="1" t="s">
        <x:v>1949</x:v>
      </x:c>
      <x:c r="I6" s="1" t="s">
        <x:v>1950</x:v>
      </x:c>
    </x:row>
    <x:row r="7">
      <x:c r="A7" s="1" t="s">
        <x:v>1951</x:v>
      </x:c>
      <x:c r="B7" s="1" t="s">
        <x:v>795</x:v>
      </x:c>
      <x:c r="C7" s="1">
        <x:v>3.0</x:v>
      </x:c>
      <x:c r="D7" s="1">
        <x:v>10.0</x:v>
      </x:c>
      <x:c r="E7" s="1" t="s">
        <x:v>1934</x:v>
      </x:c>
      <x:c r="F7" s="6">
        <x:v>46206.0</x:v>
      </x:c>
      <x:c r="G7" s="1" t="s">
        <x:v>1019</x:v>
      </x:c>
      <x:c r="H7" s="1" t="s">
        <x:v>1952</x:v>
      </x:c>
      <x:c r="I7" s="1" t="s">
        <x:v>1953</x:v>
      </x:c>
    </x:row>
    <x:row r="8">
      <x:c r="A8" s="1" t="s">
        <x:v>1954</x:v>
      </x:c>
      <x:c r="B8" s="1" t="s">
        <x:v>797</x:v>
      </x:c>
      <x:c r="C8" s="1">
        <x:v>3.0</x:v>
      </x:c>
      <x:c r="D8" s="1">
        <x:v>10.0</x:v>
      </x:c>
      <x:c r="E8" s="1" t="s">
        <x:v>1928</x:v>
      </x:c>
      <x:c r="F8" s="1" t="s">
        <x:v>1929</x:v>
      </x:c>
      <x:c r="G8" s="1" t="s">
        <x:v>1955</x:v>
      </x:c>
      <x:c r="H8" s="1" t="s">
        <x:v>1956</x:v>
      </x:c>
      <x:c r="I8" s="1" t="s">
        <x:v>1957</x:v>
      </x:c>
    </x:row>
    <x:row r="9">
      <x:c r="A9" s="1" t="s">
        <x:v>1958</x:v>
      </x:c>
      <x:c r="B9" s="1" t="s">
        <x:v>799</x:v>
      </x:c>
      <x:c r="C9" s="1">
        <x:v>3.0</x:v>
      </x:c>
      <x:c r="D9" s="1">
        <x:v>8.0</x:v>
      </x:c>
      <x:c r="E9" s="1" t="s">
        <x:v>1934</x:v>
      </x:c>
      <x:c r="F9" s="6">
        <x:v>46206.0</x:v>
      </x:c>
      <x:c r="G9" s="1" t="s">
        <x:v>993</x:v>
      </x:c>
      <x:c r="H9" s="1" t="s">
        <x:v>1959</x:v>
      </x:c>
      <x:c r="I9" s="1" t="s">
        <x:v>1960</x:v>
      </x:c>
    </x:row>
    <x:row r="10">
      <x:c r="A10" s="1" t="s">
        <x:v>1961</x:v>
      </x:c>
      <x:c r="B10" s="1" t="s">
        <x:v>801</x:v>
      </x:c>
      <x:c r="C10" s="1">
        <x:v>3.0</x:v>
      </x:c>
      <x:c r="D10" s="1">
        <x:v>10.0</x:v>
      </x:c>
      <x:c r="E10" s="1" t="s">
        <x:v>1934</x:v>
      </x:c>
      <x:c r="F10" s="6">
        <x:v>46206.0</x:v>
      </x:c>
      <x:c r="G10" s="1" t="s">
        <x:v>1962</x:v>
      </x:c>
      <x:c r="H10" s="1" t="s">
        <x:v>1963</x:v>
      </x:c>
      <x:c r="I10" s="1" t="s">
        <x:v>1964</x:v>
      </x:c>
    </x:row>
    <x:row r="11">
      <x:c r="A11" s="1" t="s">
        <x:v>1965</x:v>
      </x:c>
      <x:c r="B11" s="1" t="s">
        <x:v>803</x:v>
      </x:c>
      <x:c r="C11" s="1">
        <x:v>3.0</x:v>
      </x:c>
      <x:c r="D11" s="1">
        <x:v>10.0</x:v>
      </x:c>
      <x:c r="E11" s="1" t="s">
        <x:v>1934</x:v>
      </x:c>
      <x:c r="F11" s="6">
        <x:v>46206.0</x:v>
      </x:c>
      <x:c r="G11" s="1" t="s">
        <x:v>1966</x:v>
      </x:c>
      <x:c r="H11" s="1" t="s">
        <x:v>1967</x:v>
      </x:c>
      <x:c r="I11" s="1" t="s">
        <x:v>1968</x:v>
      </x:c>
    </x:row>
    <x:row r="12">
      <x:c r="A12" s="1" t="s">
        <x:v>1969</x:v>
      </x:c>
      <x:c r="B12" s="1" t="s">
        <x:v>805</x:v>
      </x:c>
      <x:c r="C12" s="1">
        <x:v>3.0</x:v>
      </x:c>
      <x:c r="D12" s="1">
        <x:v>10.0</x:v>
      </x:c>
      <x:c r="E12" s="1" t="s">
        <x:v>1928</x:v>
      </x:c>
      <x:c r="F12" s="1" t="s">
        <x:v>1929</x:v>
      </x:c>
      <x:c r="G12" s="1" t="s">
        <x:v>1970</x:v>
      </x:c>
      <x:c r="H12" s="1" t="s">
        <x:v>1971</x:v>
      </x:c>
      <x:c r="I12" s="1" t="s">
        <x:v>1972</x:v>
      </x:c>
    </x:row>
    <x:row r="13">
      <x:c r="A13" s="1" t="s">
        <x:v>1973</x:v>
      </x:c>
      <x:c r="B13" s="1" t="s">
        <x:v>807</x:v>
      </x:c>
      <x:c r="C13" s="1">
        <x:v>3.0</x:v>
      </x:c>
      <x:c r="D13" s="1">
        <x:v>10.0</x:v>
      </x:c>
      <x:c r="E13" s="1" t="s">
        <x:v>1934</x:v>
      </x:c>
      <x:c r="F13" s="6">
        <x:v>46206.0</x:v>
      </x:c>
      <x:c r="G13" s="1" t="s">
        <x:v>1974</x:v>
      </x:c>
      <x:c r="H13" s="1" t="s">
        <x:v>1975</x:v>
      </x:c>
      <x:c r="I13" s="1" t="s">
        <x:v>1976</x:v>
      </x:c>
    </x:row>
    <x:row r="14">
      <x:c r="A14" s="8" t="s">
        <x:v>1977</x:v>
      </x:c>
      <x:c r="B14" s="8" t="s">
        <x:v>817</x:v>
      </x:c>
      <x:c r="C14" s="18">
        <x:v>3.0</x:v>
      </x:c>
      <x:c r="D14" s="18">
        <x:v>6.0</x:v>
      </x:c>
      <x:c r="E14" s="8" t="s">
        <x:v>1934</x:v>
      </x:c>
      <x:c r="F14" s="8" t="s">
        <x:v>1929</x:v>
      </x:c>
      <x:c r="G14" s="8" t="s">
        <x:v>1978</x:v>
      </x:c>
      <x:c r="H14" s="8" t="s">
        <x:v>1949</x:v>
      </x:c>
      <x:c r="I14" s="8" t="s">
        <x:v>1979</x:v>
      </x:c>
    </x:row>
    <x:row r="15">
      <x:c r="A15" s="8" t="s">
        <x:v>1980</x:v>
      </x:c>
      <x:c r="B15" s="8" t="s">
        <x:v>819</x:v>
      </x:c>
      <x:c r="C15" s="18">
        <x:v>3.0</x:v>
      </x:c>
      <x:c r="D15" s="18">
        <x:v>6.0</x:v>
      </x:c>
      <x:c r="E15" s="8" t="s">
        <x:v>1934</x:v>
      </x:c>
      <x:c r="F15" s="8" t="s">
        <x:v>1929</x:v>
      </x:c>
      <x:c r="G15" s="8" t="s">
        <x:v>1981</x:v>
      </x:c>
      <x:c r="H15" s="8" t="s">
        <x:v>1982</x:v>
      </x:c>
      <x:c r="I15" s="8" t="s">
        <x:v>1983</x:v>
      </x:c>
    </x:row>
    <x:row r="16">
      <x:c r="A16" s="8" t="s">
        <x:v>1984</x:v>
      </x:c>
      <x:c r="B16" s="8" t="s">
        <x:v>821</x:v>
      </x:c>
      <x:c r="C16" s="18">
        <x:v>3.0</x:v>
      </x:c>
      <x:c r="D16" s="18">
        <x:v>8.0</x:v>
      </x:c>
      <x:c r="E16" s="8" t="s">
        <x:v>1934</x:v>
      </x:c>
      <x:c r="F16" s="8" t="s">
        <x:v>1985</x:v>
      </x:c>
      <x:c r="G16" s="8" t="s">
        <x:v>1986</x:v>
      </x:c>
      <x:c r="H16" s="8" t="s">
        <x:v>1987</x:v>
      </x:c>
      <x:c r="I16" s="8" t="s">
        <x:v>1988</x:v>
      </x:c>
    </x:row>
    <x:row r="17">
      <x:c r="A17" s="8" t="s">
        <x:v>1989</x:v>
      </x:c>
      <x:c r="B17" s="8" t="s">
        <x:v>823</x:v>
      </x:c>
      <x:c r="C17" s="18">
        <x:v>3.0</x:v>
      </x:c>
      <x:c r="D17" s="18">
        <x:v>10.0</x:v>
      </x:c>
      <x:c r="E17" s="8" t="s">
        <x:v>1934</x:v>
      </x:c>
      <x:c r="F17" s="8" t="s">
        <x:v>1985</x:v>
      </x:c>
      <x:c r="G17" s="8" t="s">
        <x:v>1990</x:v>
      </x:c>
      <x:c r="H17" s="8" t="s">
        <x:v>1991</x:v>
      </x:c>
      <x:c r="I17" s="8" t="s">
        <x:v>1992</x:v>
      </x:c>
    </x:row>
    <x:row r="18">
      <x:c r="A18" s="8" t="s">
        <x:v>1993</x:v>
      </x:c>
      <x:c r="B18" s="8" t="s">
        <x:v>825</x:v>
      </x:c>
      <x:c r="C18" s="18">
        <x:v>3.0</x:v>
      </x:c>
      <x:c r="D18" s="9"/>
      <x:c r="E18" s="8" t="s">
        <x:v>1942</x:v>
      </x:c>
      <x:c r="F18" s="8" t="s">
        <x:v>1929</x:v>
      </x:c>
      <x:c r="G18" s="8" t="s">
        <x:v>1994</x:v>
      </x:c>
      <x:c r="H18" s="8" t="s">
        <x:v>1995</x:v>
      </x:c>
      <x:c r="I18" s="8" t="s">
        <x:v>1996</x:v>
      </x:c>
    </x:row>
    <x:row r="19">
      <x:c r="A19" s="8" t="s">
        <x:v>1997</x:v>
      </x:c>
      <x:c r="B19" s="8" t="s">
        <x:v>827</x:v>
      </x:c>
      <x:c r="C19" s="18">
        <x:v>3.0</x:v>
      </x:c>
      <x:c r="D19" s="9"/>
      <x:c r="E19" s="8" t="s">
        <x:v>1942</x:v>
      </x:c>
      <x:c r="F19" s="8" t="s">
        <x:v>1985</x:v>
      </x:c>
      <x:c r="G19" s="8" t="s">
        <x:v>1998</x:v>
      </x:c>
      <x:c r="H19" s="8" t="s">
        <x:v>1999</x:v>
      </x:c>
      <x:c r="I19" s="8" t="s">
        <x:v>2000</x:v>
      </x:c>
    </x:row>
    <x:row r="20">
      <x:c r="A20" s="3" t="s">
        <x:v>2001</x:v>
      </x:c>
      <x:c r="B20" s="3" t="s">
        <x:v>863</x:v>
      </x:c>
      <x:c r="C20" s="19">
        <x:v>2.0</x:v>
      </x:c>
      <x:c r="D20" s="3" t="s">
        <x:v>2002</x:v>
      </x:c>
      <x:c r="E20" s="3" t="s">
        <x:v>1934</x:v>
      </x:c>
      <x:c r="F20" s="3" t="s">
        <x:v>2003</x:v>
      </x:c>
      <x:c r="G20" s="3" t="s">
        <x:v>2004</x:v>
      </x:c>
      <x:c r="H20" s="3" t="s">
        <x:v>2005</x:v>
      </x:c>
      <x:c r="I20" s="3" t="s">
        <x:v>2006</x:v>
      </x:c>
    </x:row>
    <x:row r="21">
      <x:c r="A21" s="4" t="s">
        <x:v>2007</x:v>
      </x:c>
      <x:c r="B21" s="4" t="s">
        <x:v>865</x:v>
      </x:c>
      <x:c r="C21" s="20">
        <x:v>1.0</x:v>
      </x:c>
      <x:c r="D21" s="4" t="s">
        <x:v>2008</x:v>
      </x:c>
      <x:c r="E21" s="4" t="s">
        <x:v>1934</x:v>
      </x:c>
      <x:c r="F21" s="4" t="s">
        <x:v>2009</x:v>
      </x:c>
      <x:c r="G21" s="4" t="s">
        <x:v>2010</x:v>
      </x:c>
      <x:c r="H21" s="4" t="s">
        <x:v>2011</x:v>
      </x:c>
      <x:c r="I21" s="4" t="s">
        <x:v>2012</x:v>
      </x:c>
    </x:row>
    <x:row r="22">
      <x:c r="A22" s="3" t="s">
        <x:v>2013</x:v>
      </x:c>
      <x:c r="B22" s="3" t="s">
        <x:v>867</x:v>
      </x:c>
      <x:c r="C22" s="19">
        <x:v>2.0</x:v>
      </x:c>
      <x:c r="D22" s="3" t="s">
        <x:v>2002</x:v>
      </x:c>
      <x:c r="E22" s="3" t="s">
        <x:v>1934</x:v>
      </x:c>
      <x:c r="F22" s="3" t="s">
        <x:v>2003</x:v>
      </x:c>
      <x:c r="G22" s="3" t="s">
        <x:v>2014</x:v>
      </x:c>
      <x:c r="H22" s="3" t="s">
        <x:v>2005</x:v>
      </x:c>
      <x:c r="I22" s="3" t="s">
        <x:v>2006</x:v>
      </x:c>
    </x:row>
    <x:row r="23">
      <x:c r="A23" s="4" t="s">
        <x:v>2015</x:v>
      </x:c>
      <x:c r="B23" s="4" t="s">
        <x:v>869</x:v>
      </x:c>
      <x:c r="C23" s="20">
        <x:v>1.0</x:v>
      </x:c>
      <x:c r="D23" s="4" t="s">
        <x:v>2008</x:v>
      </x:c>
      <x:c r="E23" s="4" t="s">
        <x:v>1934</x:v>
      </x:c>
      <x:c r="F23" s="4" t="s">
        <x:v>2009</x:v>
      </x:c>
      <x:c r="G23" s="4" t="s">
        <x:v>2010</x:v>
      </x:c>
      <x:c r="H23" s="4" t="s">
        <x:v>2011</x:v>
      </x:c>
      <x:c r="I23" s="4" t="s">
        <x:v>2016</x:v>
      </x:c>
    </x:row>
    <x:row r="24">
      <x:c r="A24" s="3" t="s">
        <x:v>2017</x:v>
      </x:c>
      <x:c r="B24" s="3" t="s">
        <x:v>871</x:v>
      </x:c>
      <x:c r="C24" s="19">
        <x:v>1.0</x:v>
      </x:c>
      <x:c r="D24" s="3" t="s">
        <x:v>2018</x:v>
      </x:c>
      <x:c r="E24" s="3" t="s">
        <x:v>2019</x:v>
      </x:c>
      <x:c r="F24" s="3" t="s">
        <x:v>2020</x:v>
      </x:c>
      <x:c r="G24" s="3" t="s">
        <x:v>2021</x:v>
      </x:c>
      <x:c r="H24" s="3" t="s">
        <x:v>2022</x:v>
      </x:c>
      <x:c r="I24" s="3" t="s">
        <x:v>2023</x:v>
      </x:c>
    </x:row>
    <x:row r="25">
      <x:c r="A25" s="4" t="s">
        <x:v>2024</x:v>
      </x:c>
      <x:c r="B25" s="4" t="s">
        <x:v>873</x:v>
      </x:c>
      <x:c r="C25" s="20">
        <x:v>1.0</x:v>
      </x:c>
      <x:c r="D25" s="4" t="s">
        <x:v>2018</x:v>
      </x:c>
      <x:c r="E25" s="4" t="s">
        <x:v>2019</x:v>
      </x:c>
      <x:c r="F25" s="4" t="s">
        <x:v>2020</x:v>
      </x:c>
      <x:c r="G25" s="4" t="s">
        <x:v>2025</x:v>
      </x:c>
      <x:c r="H25" s="4" t="s">
        <x:v>2026</x:v>
      </x:c>
      <x:c r="I25" s="4" t="s">
        <x:v>2023</x:v>
      </x:c>
    </x:row>
    <x:row r="26">
      <x:c r="A26" s="3" t="s">
        <x:v>2027</x:v>
      </x:c>
      <x:c r="B26" s="3" t="s">
        <x:v>875</x:v>
      </x:c>
      <x:c r="C26" s="19">
        <x:v>1.0</x:v>
      </x:c>
      <x:c r="D26" s="3" t="s">
        <x:v>2028</x:v>
      </x:c>
      <x:c r="E26" s="3" t="s">
        <x:v>1934</x:v>
      </x:c>
      <x:c r="F26" s="3" t="s">
        <x:v>2020</x:v>
      </x:c>
      <x:c r="G26" s="3" t="s">
        <x:v>2029</x:v>
      </x:c>
      <x:c r="H26" s="3" t="s">
        <x:v>2030</x:v>
      </x:c>
      <x:c r="I26" s="3" t="s">
        <x:v>2031</x:v>
      </x:c>
    </x:row>
    <x:row r="27">
      <x:c r="A27" s="4" t="s">
        <x:v>2032</x:v>
      </x:c>
      <x:c r="B27" s="4" t="s">
        <x:v>877</x:v>
      </x:c>
      <x:c r="C27" s="20">
        <x:v>1.0</x:v>
      </x:c>
      <x:c r="D27" s="4" t="s">
        <x:v>2028</x:v>
      </x:c>
      <x:c r="E27" s="4" t="s">
        <x:v>1934</x:v>
      </x:c>
      <x:c r="F27" s="4" t="s">
        <x:v>2020</x:v>
      </x:c>
      <x:c r="G27" s="4" t="s">
        <x:v>2033</x:v>
      </x:c>
      <x:c r="H27" s="4" t="s">
        <x:v>2030</x:v>
      </x:c>
      <x:c r="I27" s="4" t="s">
        <x:v>2034</x:v>
      </x:c>
    </x:row>
    <x:row r="28">
      <x:c r="A28" s="3" t="s">
        <x:v>2035</x:v>
      </x:c>
      <x:c r="B28" s="3" t="s">
        <x:v>879</x:v>
      </x:c>
      <x:c r="C28" s="19">
        <x:v>1.0</x:v>
      </x:c>
      <x:c r="D28" s="3" t="s">
        <x:v>2028</x:v>
      </x:c>
      <x:c r="E28" s="3" t="s">
        <x:v>1934</x:v>
      </x:c>
      <x:c r="F28" s="3" t="s">
        <x:v>2020</x:v>
      </x:c>
      <x:c r="G28" s="3" t="s">
        <x:v>2036</x:v>
      </x:c>
      <x:c r="H28" s="3" t="s">
        <x:v>2030</x:v>
      </x:c>
      <x:c r="I28" s="3" t="s">
        <x:v>2037</x:v>
      </x:c>
    </x:row>
    <x:row r="29">
      <x:c r="A29" s="4" t="s">
        <x:v>2038</x:v>
      </x:c>
      <x:c r="B29" s="4" t="s">
        <x:v>881</x:v>
      </x:c>
      <x:c r="C29" s="20">
        <x:v>1.0</x:v>
      </x:c>
      <x:c r="D29" s="4" t="s">
        <x:v>2028</x:v>
      </x:c>
      <x:c r="E29" s="4" t="s">
        <x:v>1934</x:v>
      </x:c>
      <x:c r="F29" s="4" t="s">
        <x:v>2020</x:v>
      </x:c>
      <x:c r="G29" s="4" t="s">
        <x:v>2039</x:v>
      </x:c>
      <x:c r="H29" s="4" t="s">
        <x:v>2040</x:v>
      </x:c>
      <x:c r="I29" s="4" t="s">
        <x:v>2041</x:v>
      </x:c>
    </x:row>
    <x:row r="30">
      <x:c r="A30" s="1" t="s">
        <x:v>2042</x:v>
      </x:c>
      <x:c r="B30" s="1" t="s">
        <x:v>883</x:v>
      </x:c>
      <x:c r="C30" s="1">
        <x:v>2.0</x:v>
      </x:c>
      <x:c r="D30" s="1">
        <x:v>10.0</x:v>
      </x:c>
      <x:c r="F30" s="1" t="s">
        <x:v>1929</x:v>
      </x:c>
      <x:c r="G30" s="4"/>
      <x:c r="H30" s="4"/>
      <x:c r="I30" s="4"/>
    </x:row>
    <x:row r="31">
      <x:c r="A31" s="1" t="s">
        <x:v>2043</x:v>
      </x:c>
      <x:c r="B31" s="1" t="s">
        <x:v>885</x:v>
      </x:c>
      <x:c r="C31" s="1">
        <x:v>2.0</x:v>
      </x:c>
      <x:c r="D31" s="1">
        <x:v>5.0</x:v>
      </x:c>
      <x:c r="F31" s="1" t="s">
        <x:v>1929</x:v>
      </x:c>
      <x:c r="G31" s="4"/>
      <x:c r="H31" s="4"/>
      <x:c r="I31" s="4"/>
    </x:row>
    <x:row r="32">
      <x:c r="A32" s="1" t="s">
        <x:v>2044</x:v>
      </x:c>
      <x:c r="B32" s="1" t="s">
        <x:v>887</x:v>
      </x:c>
      <x:c r="C32" s="1">
        <x:v>2.0</x:v>
      </x:c>
      <x:c r="D32" s="1">
        <x:v>10.0</x:v>
      </x:c>
      <x:c r="F32" s="1" t="s">
        <x:v>1929</x:v>
      </x:c>
      <x:c r="G32" s="4"/>
      <x:c r="H32" s="4"/>
      <x:c r="I32" s="4"/>
    </x:row>
    <x:row r="33">
      <x:c r="A33" s="1" t="s">
        <x:v>2045</x:v>
      </x:c>
      <x:c r="B33" s="1" t="s">
        <x:v>889</x:v>
      </x:c>
      <x:c r="C33" s="1">
        <x:v>2.0</x:v>
      </x:c>
      <x:c r="D33" s="1">
        <x:v>5.0</x:v>
      </x:c>
      <x:c r="F33" s="1" t="s">
        <x:v>1929</x:v>
      </x:c>
      <x:c r="G33" s="4"/>
      <x:c r="H33" s="4"/>
      <x:c r="I33" s="4"/>
    </x:row>
    <x:row r="34">
      <x:c r="A34" s="1" t="s">
        <x:v>2046</x:v>
      </x:c>
      <x:c r="B34" s="1" t="s">
        <x:v>891</x:v>
      </x:c>
      <x:c r="C34" s="1">
        <x:v>2.0</x:v>
      </x:c>
      <x:c r="D34" s="1">
        <x:v>10.0</x:v>
      </x:c>
      <x:c r="F34" s="1" t="s">
        <x:v>1929</x:v>
      </x:c>
      <x:c r="G34" s="4"/>
      <x:c r="H34" s="4"/>
      <x:c r="I34" s="4"/>
    </x:row>
    <x:row r="35">
      <x:c r="A35" s="1" t="s">
        <x:v>2047</x:v>
      </x:c>
      <x:c r="B35" s="1" t="s">
        <x:v>893</x:v>
      </x:c>
      <x:c r="C35" s="1">
        <x:v>2.0</x:v>
      </x:c>
      <x:c r="D35" s="1">
        <x:v>5.0</x:v>
      </x:c>
      <x:c r="F35" s="1" t="s">
        <x:v>1929</x:v>
      </x:c>
      <x:c r="G35" s="4"/>
      <x:c r="H35" s="4"/>
      <x:c r="I35" s="4"/>
    </x:row>
  </x:sheetData>
  <x:pageMargins left="0.7" right="0.7" top="0.75" bottom="0.75" header="0.3" footer="0.3"/>
  <x:tableParts count="1">
    <x:tablePart xmlns:r="http://schemas.openxmlformats.org/officeDocument/2006/relationships" r:id="R45495c5a0aa24c2f"/>
  </x:tableParts>
</x:worksheet>
</file>

<file path=xl/worksheets/sheet26.xml><?xml version="1.0" encoding="utf-8"?>
<x:worksheet xmlns:x="http://schemas.openxmlformats.org/spreadsheetml/2006/main">
  <x:sheetPr>
    <x:tabColor rgb="FFC1E4F5"/>
  </x:sheetPr>
  <x:sheetFormatPr defaultColWidth="12.630000114440918" defaultRowHeight="15.75"/>
  <x:sheetData>
    <x:row r="1">
      <x:c r="A1" s="5" t="s">
        <x:v>2048</x:v>
      </x:c>
      <x:c r="B1" s="5" t="s">
        <x:v>768</x:v>
      </x:c>
      <x:c r="C1" s="5" t="s">
        <x:v>2049</x:v>
      </x:c>
      <x:c r="D1" s="5" t="s">
        <x:v>2050</x:v>
      </x:c>
      <x:c r="E1" s="5" t="s">
        <x:v>2051</x:v>
      </x:c>
      <x:c r="F1" s="5" t="s">
        <x:v>2052</x:v>
      </x:c>
      <x:c r="G1" s="5" t="s">
        <x:v>2053</x:v>
      </x:c>
    </x:row>
    <x:row r="2">
      <x:c r="A2" s="10" t="s">
        <x:v>2054</x:v>
      </x:c>
      <x:c r="B2" s="10" t="s">
        <x:v>829</x:v>
      </x:c>
      <x:c r="C2" s="10" t="s">
        <x:v>2055</x:v>
      </x:c>
      <x:c r="D2" s="10" t="s">
        <x:v>2056</x:v>
      </x:c>
      <x:c r="E2" s="10" t="s">
        <x:v>2057</x:v>
      </x:c>
      <x:c r="F2" s="10" t="s">
        <x:v>2058</x:v>
      </x:c>
      <x:c r="G2" s="10" t="s">
        <x:v>2059</x:v>
      </x:c>
    </x:row>
    <x:row r="3">
      <x:c r="A3" s="4" t="s">
        <x:v>2060</x:v>
      </x:c>
      <x:c r="B3" s="4" t="s">
        <x:v>831</x:v>
      </x:c>
      <x:c r="C3" s="4" t="s">
        <x:v>2061</x:v>
      </x:c>
      <x:c r="D3" s="4" t="s">
        <x:v>2056</x:v>
      </x:c>
      <x:c r="E3" s="4" t="s">
        <x:v>2057</x:v>
      </x:c>
      <x:c r="F3" s="4" t="s">
        <x:v>2058</x:v>
      </x:c>
      <x:c r="G3" s="4" t="s">
        <x:v>2059</x:v>
      </x:c>
    </x:row>
    <x:row r="4">
      <x:c r="A4" s="3" t="s">
        <x:v>2062</x:v>
      </x:c>
      <x:c r="B4" s="3" t="s">
        <x:v>833</x:v>
      </x:c>
      <x:c r="C4" s="3" t="s">
        <x:v>2063</x:v>
      </x:c>
      <x:c r="D4" s="3" t="s">
        <x:v>2064</x:v>
      </x:c>
      <x:c r="E4" s="3" t="s">
        <x:v>2065</x:v>
      </x:c>
      <x:c r="F4" s="3" t="s">
        <x:v>2066</x:v>
      </x:c>
      <x:c r="G4" s="3" t="s">
        <x:v>2059</x:v>
      </x:c>
    </x:row>
    <x:row r="5">
      <x:c r="A5" s="4" t="s">
        <x:v>2067</x:v>
      </x:c>
      <x:c r="B5" s="4" t="s">
        <x:v>835</x:v>
      </x:c>
      <x:c r="C5" s="4" t="s">
        <x:v>2068</x:v>
      </x:c>
      <x:c r="D5" s="4" t="s">
        <x:v>2069</x:v>
      </x:c>
      <x:c r="E5" s="4" t="s">
        <x:v>2070</x:v>
      </x:c>
      <x:c r="F5" s="4" t="s">
        <x:v>2071</x:v>
      </x:c>
      <x:c r="G5" s="4" t="s">
        <x:v>2059</x:v>
      </x:c>
    </x:row>
    <x:row r="6">
      <x:c r="A6" s="3" t="s">
        <x:v>2072</x:v>
      </x:c>
      <x:c r="B6" s="3" t="s">
        <x:v>837</x:v>
      </x:c>
      <x:c r="C6" s="3" t="s">
        <x:v>2073</x:v>
      </x:c>
      <x:c r="D6" s="3" t="s">
        <x:v>2074</x:v>
      </x:c>
      <x:c r="E6" s="3" t="s">
        <x:v>2075</x:v>
      </x:c>
      <x:c r="F6" s="3" t="s">
        <x:v>2076</x:v>
      </x:c>
      <x:c r="G6" s="3" t="s">
        <x:v>2059</x:v>
      </x:c>
    </x:row>
    <x:row r="7">
      <x:c r="A7" s="4" t="s">
        <x:v>2077</x:v>
      </x:c>
      <x:c r="B7" s="4" t="s">
        <x:v>839</x:v>
      </x:c>
      <x:c r="C7" s="4" t="s">
        <x:v>2078</x:v>
      </x:c>
      <x:c r="D7" s="4" t="s">
        <x:v>2079</x:v>
      </x:c>
      <x:c r="E7" s="4" t="s">
        <x:v>2080</x:v>
      </x:c>
      <x:c r="F7" s="4" t="s">
        <x:v>2081</x:v>
      </x:c>
      <x:c r="G7" s="4" t="s">
        <x:v>2059</x:v>
      </x:c>
    </x:row>
    <x:row r="8">
      <x:c r="A8" s="3" t="s">
        <x:v>2082</x:v>
      </x:c>
      <x:c r="B8" s="3" t="s">
        <x:v>841</x:v>
      </x:c>
      <x:c r="C8" s="3" t="s">
        <x:v>2083</x:v>
      </x:c>
      <x:c r="D8" s="3" t="s">
        <x:v>2084</x:v>
      </x:c>
      <x:c r="E8" s="3" t="s">
        <x:v>2085</x:v>
      </x:c>
      <x:c r="F8" s="3" t="s">
        <x:v>2086</x:v>
      </x:c>
      <x:c r="G8" s="3" t="s">
        <x:v>2059</x:v>
      </x:c>
    </x:row>
    <x:row r="9">
      <x:c r="A9" s="4" t="s">
        <x:v>2087</x:v>
      </x:c>
      <x:c r="B9" s="4" t="s">
        <x:v>843</x:v>
      </x:c>
      <x:c r="C9" s="4" t="s">
        <x:v>2088</x:v>
      </x:c>
      <x:c r="D9" s="4" t="s">
        <x:v>2089</x:v>
      </x:c>
      <x:c r="E9" s="4" t="s">
        <x:v>2090</x:v>
      </x:c>
      <x:c r="F9" s="4" t="s">
        <x:v>2091</x:v>
      </x:c>
      <x:c r="G9" s="4" t="s">
        <x:v>2059</x:v>
      </x:c>
    </x:row>
    <x:row r="10">
      <x:c r="A10" s="3" t="s">
        <x:v>2092</x:v>
      </x:c>
      <x:c r="B10" s="3" t="s">
        <x:v>845</x:v>
      </x:c>
      <x:c r="C10" s="3" t="s">
        <x:v>2093</x:v>
      </x:c>
      <x:c r="D10" s="3" t="s">
        <x:v>2094</x:v>
      </x:c>
      <x:c r="E10" s="3" t="s">
        <x:v>2095</x:v>
      </x:c>
      <x:c r="F10" s="3" t="s">
        <x:v>2096</x:v>
      </x:c>
      <x:c r="G10" s="3" t="s">
        <x:v>2059</x:v>
      </x:c>
    </x:row>
    <x:row r="11">
      <x:c r="A11" s="4" t="s">
        <x:v>2097</x:v>
      </x:c>
      <x:c r="B11" s="4" t="s">
        <x:v>847</x:v>
      </x:c>
      <x:c r="C11" s="4" t="s">
        <x:v>2098</x:v>
      </x:c>
      <x:c r="D11" s="4" t="s">
        <x:v>2099</x:v>
      </x:c>
      <x:c r="E11" s="4" t="s">
        <x:v>2100</x:v>
      </x:c>
      <x:c r="F11" s="4" t="s">
        <x:v>2101</x:v>
      </x:c>
      <x:c r="G11" s="4" t="s">
        <x:v>2059</x:v>
      </x:c>
    </x:row>
    <x:row r="12">
      <x:c r="A12" s="3" t="s">
        <x:v>2102</x:v>
      </x:c>
      <x:c r="B12" s="3" t="s">
        <x:v>849</x:v>
      </x:c>
      <x:c r="C12" s="3" t="s">
        <x:v>2103</x:v>
      </x:c>
      <x:c r="D12" s="3" t="s">
        <x:v>2099</x:v>
      </x:c>
      <x:c r="E12" s="3" t="s">
        <x:v>2104</x:v>
      </x:c>
      <x:c r="F12" s="3" t="s">
        <x:v>2101</x:v>
      </x:c>
      <x:c r="G12" s="3" t="s">
        <x:v>2059</x:v>
      </x:c>
    </x:row>
    <x:row r="13">
      <x:c r="A13" s="4" t="s">
        <x:v>2105</x:v>
      </x:c>
      <x:c r="B13" s="4" t="s">
        <x:v>851</x:v>
      </x:c>
      <x:c r="C13" s="4" t="s">
        <x:v>2106</x:v>
      </x:c>
      <x:c r="D13" s="4" t="s">
        <x:v>2099</x:v>
      </x:c>
      <x:c r="E13" s="4" t="s">
        <x:v>2107</x:v>
      </x:c>
      <x:c r="F13" s="4" t="s">
        <x:v>2101</x:v>
      </x:c>
      <x:c r="G13" s="4" t="s">
        <x:v>2059</x:v>
      </x:c>
    </x:row>
    <x:row r="14">
      <x:c r="A14" s="3" t="s">
        <x:v>2108</x:v>
      </x:c>
      <x:c r="B14" s="3" t="s">
        <x:v>853</x:v>
      </x:c>
      <x:c r="C14" s="3" t="s">
        <x:v>2109</x:v>
      </x:c>
      <x:c r="D14" s="3" t="s">
        <x:v>2110</x:v>
      </x:c>
      <x:c r="E14" s="3" t="s">
        <x:v>2111</x:v>
      </x:c>
      <x:c r="F14" s="3" t="s">
        <x:v>2112</x:v>
      </x:c>
      <x:c r="G14" s="3" t="s">
        <x:v>2059</x:v>
      </x:c>
    </x:row>
    <x:row r="15">
      <x:c r="A15" s="4" t="s">
        <x:v>2113</x:v>
      </x:c>
      <x:c r="B15" s="4" t="s">
        <x:v>855</x:v>
      </x:c>
      <x:c r="C15" s="4" t="s">
        <x:v>2109</x:v>
      </x:c>
      <x:c r="D15" s="4" t="s">
        <x:v>2114</x:v>
      </x:c>
      <x:c r="E15" s="4" t="s">
        <x:v>2115</x:v>
      </x:c>
      <x:c r="F15" s="4" t="s">
        <x:v>2116</x:v>
      </x:c>
      <x:c r="G15" s="4" t="s">
        <x:v>2059</x:v>
      </x:c>
    </x:row>
    <x:row r="16">
      <x:c r="A16" s="3" t="s">
        <x:v>2117</x:v>
      </x:c>
      <x:c r="B16" s="3" t="s">
        <x:v>857</x:v>
      </x:c>
      <x:c r="C16" s="3" t="s">
        <x:v>2118</x:v>
      </x:c>
      <x:c r="D16" s="3" t="s">
        <x:v>2119</x:v>
      </x:c>
      <x:c r="E16" s="3" t="s">
        <x:v>2120</x:v>
      </x:c>
      <x:c r="F16" s="3" t="s">
        <x:v>2121</x:v>
      </x:c>
      <x:c r="G16" s="3" t="s">
        <x:v>2059</x:v>
      </x:c>
    </x:row>
    <x:row r="17">
      <x:c r="A17" s="4" t="s">
        <x:v>2122</x:v>
      </x:c>
      <x:c r="B17" s="4" t="s">
        <x:v>859</x:v>
      </x:c>
      <x:c r="C17" s="4" t="s">
        <x:v>2123</x:v>
      </x:c>
      <x:c r="D17" s="4" t="s">
        <x:v>2119</x:v>
      </x:c>
      <x:c r="E17" s="4" t="s">
        <x:v>2124</x:v>
      </x:c>
      <x:c r="F17" s="4" t="s">
        <x:v>2121</x:v>
      </x:c>
      <x:c r="G17" s="4" t="s">
        <x:v>2059</x:v>
      </x:c>
    </x:row>
    <x:row r="18">
      <x:c r="A18" s="3" t="s">
        <x:v>2125</x:v>
      </x:c>
      <x:c r="B18" s="3" t="s">
        <x:v>861</x:v>
      </x:c>
      <x:c r="C18" s="3" t="s">
        <x:v>2126</x:v>
      </x:c>
      <x:c r="D18" s="3" t="s">
        <x:v>2119</x:v>
      </x:c>
      <x:c r="E18" s="3" t="s">
        <x:v>2127</x:v>
      </x:c>
      <x:c r="F18" s="3" t="s">
        <x:v>2121</x:v>
      </x:c>
      <x:c r="G18" s="3" t="s">
        <x:v>2059</x:v>
      </x:c>
    </x:row>
    <x:row r="19">
      <x:c r="A19" s="4" t="s">
        <x:v>2128</x:v>
      </x:c>
      <x:c r="B19" s="4" t="s">
        <x:v>863</x:v>
      </x:c>
      <x:c r="C19" s="4" t="s">
        <x:v>2073</x:v>
      </x:c>
      <x:c r="D19" s="4" t="s">
        <x:v>2129</x:v>
      </x:c>
      <x:c r="E19" s="4" t="s">
        <x:v>2130</x:v>
      </x:c>
      <x:c r="F19" s="4" t="s">
        <x:v>2131</x:v>
      </x:c>
      <x:c r="G19" s="4" t="s">
        <x:v>2132</x:v>
      </x:c>
    </x:row>
    <x:row r="20">
      <x:c r="A20" s="3" t="s">
        <x:v>2133</x:v>
      </x:c>
      <x:c r="B20" s="3" t="s">
        <x:v>865</x:v>
      </x:c>
      <x:c r="C20" s="3" t="s">
        <x:v>2073</x:v>
      </x:c>
      <x:c r="D20" s="3" t="s">
        <x:v>2134</x:v>
      </x:c>
      <x:c r="E20" s="3" t="s">
        <x:v>2135</x:v>
      </x:c>
      <x:c r="F20" s="3" t="s">
        <x:v>2136</x:v>
      </x:c>
      <x:c r="G20" s="3" t="s">
        <x:v>2137</x:v>
      </x:c>
    </x:row>
    <x:row r="21">
      <x:c r="A21" s="4" t="s">
        <x:v>2138</x:v>
      </x:c>
      <x:c r="B21" s="4" t="s">
        <x:v>867</x:v>
      </x:c>
      <x:c r="C21" s="4" t="s">
        <x:v>2093</x:v>
      </x:c>
      <x:c r="D21" s="4" t="s">
        <x:v>2139</x:v>
      </x:c>
      <x:c r="E21" s="4" t="s">
        <x:v>2140</x:v>
      </x:c>
      <x:c r="F21" s="4" t="s">
        <x:v>2131</x:v>
      </x:c>
      <x:c r="G21" s="4" t="s">
        <x:v>2132</x:v>
      </x:c>
    </x:row>
    <x:row r="22">
      <x:c r="A22" s="3" t="s">
        <x:v>2141</x:v>
      </x:c>
      <x:c r="B22" s="3" t="s">
        <x:v>869</x:v>
      </x:c>
      <x:c r="C22" s="3" t="s">
        <x:v>2093</x:v>
      </x:c>
      <x:c r="D22" s="3" t="s">
        <x:v>2142</x:v>
      </x:c>
      <x:c r="E22" s="3" t="s">
        <x:v>2090</x:v>
      </x:c>
      <x:c r="F22" s="3" t="s">
        <x:v>2136</x:v>
      </x:c>
      <x:c r="G22" s="3" t="s">
        <x:v>2137</x:v>
      </x:c>
    </x:row>
    <x:row r="23">
      <x:c r="A23" s="4" t="s">
        <x:v>2143</x:v>
      </x:c>
      <x:c r="B23" s="4" t="s">
        <x:v>871</x:v>
      </x:c>
      <x:c r="C23" s="4" t="s">
        <x:v>2144</x:v>
      </x:c>
      <x:c r="D23" s="4" t="s">
        <x:v>2145</x:v>
      </x:c>
      <x:c r="E23" s="4" t="s">
        <x:v>2146</x:v>
      </x:c>
      <x:c r="F23" s="4" t="s">
        <x:v>1305</x:v>
      </x:c>
      <x:c r="G23" s="4" t="s">
        <x:v>2147</x:v>
      </x:c>
    </x:row>
    <x:row r="24">
      <x:c r="A24" s="3" t="s">
        <x:v>2148</x:v>
      </x:c>
      <x:c r="B24" s="3" t="s">
        <x:v>873</x:v>
      </x:c>
      <x:c r="C24" s="3" t="s">
        <x:v>2144</x:v>
      </x:c>
      <x:c r="D24" s="3" t="s">
        <x:v>2149</x:v>
      </x:c>
      <x:c r="E24" s="3" t="s">
        <x:v>2146</x:v>
      </x:c>
      <x:c r="F24" s="3" t="s">
        <x:v>1305</x:v>
      </x:c>
      <x:c r="G24" s="3" t="s">
        <x:v>2150</x:v>
      </x:c>
    </x:row>
    <x:row r="25">
      <x:c r="A25" s="4" t="s">
        <x:v>2151</x:v>
      </x:c>
      <x:c r="B25" s="4" t="s">
        <x:v>875</x:v>
      </x:c>
      <x:c r="C25" s="4" t="s">
        <x:v>2061</x:v>
      </x:c>
      <x:c r="D25" s="4" t="s">
        <x:v>2152</x:v>
      </x:c>
      <x:c r="E25" s="4" t="s">
        <x:v>2153</x:v>
      </x:c>
      <x:c r="F25" s="4" t="s">
        <x:v>2154</x:v>
      </x:c>
      <x:c r="G25" s="4" t="s">
        <x:v>2155</x:v>
      </x:c>
    </x:row>
    <x:row r="26">
      <x:c r="A26" s="3" t="s">
        <x:v>2156</x:v>
      </x:c>
      <x:c r="B26" s="3" t="s">
        <x:v>877</x:v>
      </x:c>
      <x:c r="C26" s="3" t="s">
        <x:v>2055</x:v>
      </x:c>
      <x:c r="D26" s="3" t="s">
        <x:v>2157</x:v>
      </x:c>
      <x:c r="E26" s="3" t="s">
        <x:v>2158</x:v>
      </x:c>
      <x:c r="F26" s="3" t="s">
        <x:v>2154</x:v>
      </x:c>
      <x:c r="G26" s="3" t="s">
        <x:v>2159</x:v>
      </x:c>
    </x:row>
    <x:row r="27">
      <x:c r="A27" s="4" t="s">
        <x:v>2160</x:v>
      </x:c>
      <x:c r="B27" s="4" t="s">
        <x:v>879</x:v>
      </x:c>
      <x:c r="C27" s="4" t="s">
        <x:v>2161</x:v>
      </x:c>
      <x:c r="D27" s="4" t="s">
        <x:v>2152</x:v>
      </x:c>
      <x:c r="E27" s="4" t="s">
        <x:v>2162</x:v>
      </x:c>
      <x:c r="F27" s="4" t="s">
        <x:v>2163</x:v>
      </x:c>
      <x:c r="G27" s="4" t="s">
        <x:v>2164</x:v>
      </x:c>
    </x:row>
    <x:row r="28">
      <x:c r="A28" s="3" t="s">
        <x:v>2165</x:v>
      </x:c>
      <x:c r="B28" s="3" t="s">
        <x:v>881</x:v>
      </x:c>
      <x:c r="C28" s="3" t="s">
        <x:v>2166</x:v>
      </x:c>
      <x:c r="D28" s="3" t="s">
        <x:v>2167</x:v>
      </x:c>
      <x:c r="E28" s="3" t="s">
        <x:v>2168</x:v>
      </x:c>
      <x:c r="F28" s="3" t="s">
        <x:v>2169</x:v>
      </x:c>
      <x:c r="G28" s="3" t="s">
        <x:v>2170</x:v>
      </x:c>
    </x:row>
    <x:row r="29">
      <x:c r="A29" s="1" t="s">
        <x:v>2072</x:v>
      </x:c>
      <x:c r="B29" s="1" t="s">
        <x:v>883</x:v>
      </x:c>
      <x:c r="C29" s="1" t="s">
        <x:v>2063</x:v>
      </x:c>
      <x:c r="F29" s="1" t="s">
        <x:v>2171</x:v>
      </x:c>
      <x:c r="G29" s="1" t="s">
        <x:v>2172</x:v>
      </x:c>
    </x:row>
    <x:row r="30">
      <x:c r="A30" s="1" t="s">
        <x:v>2077</x:v>
      </x:c>
      <x:c r="B30" s="1" t="s">
        <x:v>885</x:v>
      </x:c>
      <x:c r="C30" s="1" t="s">
        <x:v>2063</x:v>
      </x:c>
      <x:c r="F30" s="1" t="s">
        <x:v>2171</x:v>
      </x:c>
      <x:c r="G30" s="1" t="s">
        <x:v>2173</x:v>
      </x:c>
    </x:row>
    <x:row r="31">
      <x:c r="A31" s="1" t="s">
        <x:v>2082</x:v>
      </x:c>
      <x:c r="B31" s="1" t="s">
        <x:v>887</x:v>
      </x:c>
      <x:c r="C31" s="1" t="s">
        <x:v>2078</x:v>
      </x:c>
      <x:c r="F31" s="1" t="s">
        <x:v>2171</x:v>
      </x:c>
      <x:c r="G31" s="1" t="s">
        <x:v>2172</x:v>
      </x:c>
    </x:row>
    <x:row r="32">
      <x:c r="A32" s="1" t="s">
        <x:v>2087</x:v>
      </x:c>
      <x:c r="B32" s="1" t="s">
        <x:v>889</x:v>
      </x:c>
      <x:c r="C32" s="1" t="s">
        <x:v>2078</x:v>
      </x:c>
      <x:c r="F32" s="1" t="s">
        <x:v>2171</x:v>
      </x:c>
      <x:c r="G32" s="1" t="s">
        <x:v>2173</x:v>
      </x:c>
    </x:row>
    <x:row r="33">
      <x:c r="A33" s="1" t="s">
        <x:v>2092</x:v>
      </x:c>
      <x:c r="B33" s="1" t="s">
        <x:v>891</x:v>
      </x:c>
      <x:c r="C33" s="1" t="s">
        <x:v>2109</x:v>
      </x:c>
      <x:c r="F33" s="1" t="s">
        <x:v>2174</x:v>
      </x:c>
      <x:c r="G33" s="1" t="s">
        <x:v>2172</x:v>
      </x:c>
    </x:row>
    <x:row r="34">
      <x:c r="A34" s="1" t="s">
        <x:v>2097</x:v>
      </x:c>
      <x:c r="B34" s="1" t="s">
        <x:v>893</x:v>
      </x:c>
      <x:c r="C34" s="1" t="s">
        <x:v>2109</x:v>
      </x:c>
      <x:c r="F34" s="1" t="s">
        <x:v>2174</x:v>
      </x:c>
      <x:c r="G34" s="1" t="s">
        <x:v>2173</x:v>
      </x:c>
    </x:row>
  </x:sheetData>
  <x:pageMargins left="0.7" right="0.7" top="0.75" bottom="0.75" header="0.3" footer="0.3"/>
  <x:tableParts count="1">
    <x:tablePart xmlns:r="http://schemas.openxmlformats.org/officeDocument/2006/relationships" r:id="R7b86f47da9014d8c"/>
  </x:tableParts>
</x:worksheet>
</file>

<file path=xl/worksheets/sheet27.xml><?xml version="1.0" encoding="utf-8"?>
<x:worksheet xmlns:x="http://schemas.openxmlformats.org/spreadsheetml/2006/main">
  <x:sheetPr>
    <x:tabColor rgb="FFC1E4F5"/>
  </x:sheetPr>
  <x:sheetFormatPr defaultColWidth="12.630000114440918" defaultRowHeight="15.75"/>
  <x:cols>
    <x:col min="8" max="8" width="17.6299991607666" customWidth="1"/>
  </x:cols>
  <x:sheetData>
    <x:row r="1">
      <x:c r="A1" s="1" t="s">
        <x:v>2175</x:v>
      </x:c>
      <x:c r="B1" s="1" t="s">
        <x:v>414</x:v>
      </x:c>
      <x:c r="C1" s="1" t="s">
        <x:v>2176</x:v>
      </x:c>
      <x:c r="D1" s="1" t="s">
        <x:v>2177</x:v>
      </x:c>
      <x:c r="E1" s="1" t="s">
        <x:v>2178</x:v>
      </x:c>
      <x:c r="F1" s="1" t="s">
        <x:v>2179</x:v>
      </x:c>
      <x:c r="G1" s="1" t="s">
        <x:v>751</x:v>
      </x:c>
      <x:c r="H1" s="1" t="s">
        <x:v>2180</x:v>
      </x:c>
      <x:c r="I1" s="1" t="s">
        <x:v>137</x:v>
      </x:c>
    </x:row>
  </x:sheetData>
  <x:pageMargins left="0.7" right="0.7" top="0.75" bottom="0.75" header="0.3" footer="0.3"/>
</x:worksheet>
</file>

<file path=xl/worksheets/sheet28.xml><?xml version="1.0" encoding="utf-8"?>
<x:worksheet xmlns:x="http://schemas.openxmlformats.org/spreadsheetml/2006/main">
  <x:sheetFormatPr defaultColWidth="12.630000114440918" defaultRowHeight="15.75"/>
  <x:sheetData>
    <x:row r="1">
      <x:c r="A1" s="1" t="s">
        <x:v>2181</x:v>
      </x:c>
      <x:c r="B1" s="1" t="s">
        <x:v>723</x:v>
      </x:c>
      <x:c r="C1" s="1" t="s">
        <x:v>2182</x:v>
      </x:c>
      <x:c r="D1" s="1" t="s">
        <x:v>468</x:v>
      </x:c>
      <x:c r="E1" s="1" t="s">
        <x:v>725</x:v>
      </x:c>
      <x:c r="F1" s="1" t="s">
        <x:v>726</x:v>
      </x:c>
      <x:c r="G1" s="1" t="s">
        <x:v>727</x:v>
      </x:c>
      <x:c r="H1" s="1" t="s">
        <x:v>728</x:v>
      </x:c>
      <x:c r="I1" s="1" t="s">
        <x:v>729</x:v>
      </x:c>
      <x:c r="J1" s="1" t="s">
        <x:v>730</x:v>
      </x:c>
      <x:c r="K1" s="1" t="s">
        <x:v>731</x:v>
      </x:c>
      <x:c r="L1" s="1" t="s">
        <x:v>175</x:v>
      </x:c>
      <x:c r="M1" s="1" t="s">
        <x:v>732</x:v>
      </x:c>
      <x:c r="N1" s="1" t="s">
        <x:v>137</x:v>
      </x:c>
    </x:row>
    <x:row r="2">
      <x:c r="A2" s="1" t="s">
        <x:v>2183</x:v>
      </x:c>
      <x:c r="B2" s="1" t="s">
        <x:v>2184</x:v>
      </x:c>
      <x:c r="C2" s="1" t="s">
        <x:v>2185</x:v>
      </x:c>
      <x:c r="D2" s="1" t="s">
        <x:v>2186</x:v>
      </x:c>
      <x:c r="E2" s="1" t="s">
        <x:v>737</x:v>
      </x:c>
      <x:c r="F2" s="1" t="s">
        <x:v>738</x:v>
      </x:c>
      <x:c r="G2" s="1" t="s">
        <x:v>739</x:v>
      </x:c>
      <x:c r="H2" s="1" t="s">
        <x:v>740</x:v>
      </x:c>
      <x:c r="I2" s="1" t="s">
        <x:v>741</x:v>
      </x:c>
      <x:c r="J2" s="1" t="b">
        <x:v>1</x:v>
      </x:c>
      <x:c r="K2" s="1" t="b">
        <x:v>1</x:v>
      </x:c>
      <x:c r="L2" s="1" t="b">
        <x:v>1</x:v>
      </x:c>
      <x:c r="M2" s="1">
        <x:v>1.0</x:v>
      </x:c>
    </x:row>
  </x:sheetData>
  <x:pageMargins left="0.7" right="0.7" top="0.75" bottom="0.75" header="0.3" footer="0.3"/>
</x:worksheet>
</file>

<file path=xl/worksheets/sheet29.xml><?xml version="1.0" encoding="utf-8"?>
<x:worksheet xmlns:x="http://schemas.openxmlformats.org/spreadsheetml/2006/main">
  <x:sheetFormatPr defaultColWidth="12.630000114440918" defaultRowHeight="15.75"/>
  <x:sheetData>
    <x:row r="1">
      <x:c r="A1" s="1" t="s">
        <x:v>2187</x:v>
      </x:c>
      <x:c r="B1" s="1" t="s">
        <x:v>2181</x:v>
      </x:c>
      <x:c r="C1" s="1" t="s">
        <x:v>2188</x:v>
      </x:c>
      <x:c r="D1" s="1" t="s">
        <x:v>2189</x:v>
      </x:c>
      <x:c r="E1" s="1" t="s">
        <x:v>2190</x:v>
      </x:c>
      <x:c r="F1" s="1" t="s">
        <x:v>468</x:v>
      </x:c>
      <x:c r="G1" s="1" t="s">
        <x:v>175</x:v>
      </x:c>
      <x:c r="H1" s="1" t="s">
        <x:v>751</x:v>
      </x:c>
    </x:row>
    <x:row r="2">
      <x:c r="A2" s="1" t="s">
        <x:v>2191</x:v>
      </x:c>
      <x:c r="B2" s="1" t="s">
        <x:v>2183</x:v>
      </x:c>
      <x:c r="C2" s="1" t="s">
        <x:v>2192</x:v>
      </x:c>
      <x:c r="D2" s="1">
        <x:v>30.0</x:v>
      </x:c>
      <x:c r="E2" s="1" t="s">
        <x:v>2193</x:v>
      </x:c>
      <x:c r="F2" s="1" t="s">
        <x:v>2194</x:v>
      </x:c>
      <x:c r="G2" s="1" t="b">
        <x:v>1</x:v>
      </x:c>
      <x:c r="H2" s="1">
        <x:v>1.0</x:v>
      </x:c>
    </x:row>
    <x:row r="3">
      <x:c r="A3" s="1" t="s">
        <x:v>2195</x:v>
      </x:c>
      <x:c r="B3" s="1" t="s">
        <x:v>2183</x:v>
      </x:c>
      <x:c r="C3" s="1" t="s">
        <x:v>2196</x:v>
      </x:c>
      <x:c r="D3" s="1">
        <x:v>60.0</x:v>
      </x:c>
      <x:c r="E3" s="1" t="s">
        <x:v>2193</x:v>
      </x:c>
      <x:c r="F3" s="1" t="s">
        <x:v>2197</x:v>
      </x:c>
      <x:c r="G3" s="1" t="b">
        <x:v>1</x:v>
      </x:c>
      <x:c r="H3" s="1">
        <x:v>2.0</x:v>
      </x:c>
    </x:row>
  </x:sheetData>
  <x:pageMargins left="0.7" right="0.7" top="0.75" bottom="0.75" header="0.3" footer="0.3"/>
</x:worksheet>
</file>

<file path=xl/worksheets/sheet30.xml><?xml version="1.0" encoding="utf-8"?>
<x:worksheet xmlns:x="http://schemas.openxmlformats.org/spreadsheetml/2006/main">
  <x:sheetFormatPr defaultColWidth="12.630000114440918" defaultRowHeight="15.75"/>
  <x:sheetData>
    <x:row r="1">
      <x:c r="A1" s="1" t="s">
        <x:v>2198</x:v>
      </x:c>
      <x:c r="B1" s="1" t="s">
        <x:v>2187</x:v>
      </x:c>
      <x:c r="C1" s="1" t="s">
        <x:v>2199</x:v>
      </x:c>
      <x:c r="D1" s="1" t="s">
        <x:v>2200</x:v>
      </x:c>
      <x:c r="E1" s="1" t="s">
        <x:v>2201</x:v>
      </x:c>
      <x:c r="F1" s="1" t="s">
        <x:v>2202</x:v>
      </x:c>
      <x:c r="G1" s="1" t="s">
        <x:v>2203</x:v>
      </x:c>
      <x:c r="H1" s="1" t="s">
        <x:v>2204</x:v>
      </x:c>
      <x:c r="I1" s="1" t="s">
        <x:v>750</x:v>
      </x:c>
      <x:c r="J1" s="1" t="s">
        <x:v>746</x:v>
      </x:c>
      <x:c r="K1" s="1" t="s">
        <x:v>751</x:v>
      </x:c>
      <x:c r="L1" s="1" t="s">
        <x:v>137</x:v>
      </x:c>
    </x:row>
    <x:row r="2">
      <x:c r="A2" s="1" t="s">
        <x:v>2205</x:v>
      </x:c>
      <x:c r="B2" s="1" t="s">
        <x:v>2191</x:v>
      </x:c>
      <x:c r="C2" s="1" t="s">
        <x:v>2206</x:v>
      </x:c>
      <x:c r="D2" s="1" t="s">
        <x:v>2207</x:v>
      </x:c>
      <x:c r="E2" s="1" t="s">
        <x:v>735</x:v>
      </x:c>
      <x:c r="F2" s="1" t="s">
        <x:v>733</x:v>
      </x:c>
      <x:c r="G2" s="1">
        <x:v>3.0</x:v>
      </x:c>
      <x:c r="H2" s="1">
        <x:v>3.0</x:v>
      </x:c>
      <x:c r="I2" s="1" t="b">
        <x:v>0</x:v>
      </x:c>
      <x:c r="J2" s="1" t="b">
        <x:v>1</x:v>
      </x:c>
      <x:c r="K2" s="1">
        <x:v>1.0</x:v>
      </x:c>
    </x:row>
    <x:row r="3">
      <x:c r="A3" s="1" t="s">
        <x:v>2208</x:v>
      </x:c>
      <x:c r="B3" s="1" t="s">
        <x:v>2191</x:v>
      </x:c>
      <x:c r="C3" s="1" t="s">
        <x:v>2209</x:v>
      </x:c>
      <x:c r="D3" s="1" t="s">
        <x:v>2210</x:v>
      </x:c>
      <x:c r="E3" s="1" t="s">
        <x:v>735</x:v>
      </x:c>
      <x:c r="F3" s="1" t="s">
        <x:v>733</x:v>
      </x:c>
      <x:c r="G3" s="1">
        <x:v>6.0</x:v>
      </x:c>
      <x:c r="H3" s="1">
        <x:v>6.0</x:v>
      </x:c>
      <x:c r="I3" s="1" t="b">
        <x:v>0</x:v>
      </x:c>
      <x:c r="J3" s="1" t="b">
        <x:v>1</x:v>
      </x:c>
      <x:c r="K3" s="1">
        <x:v>2.0</x:v>
      </x:c>
    </x:row>
    <x:row r="4">
      <x:c r="A4" s="1" t="s">
        <x:v>2211</x:v>
      </x:c>
      <x:c r="B4" s="1" t="s">
        <x:v>2191</x:v>
      </x:c>
      <x:c r="C4" s="1" t="s">
        <x:v>2212</x:v>
      </x:c>
      <x:c r="D4" s="1" t="s">
        <x:v>2213</x:v>
      </x:c>
      <x:c r="E4" s="1" t="s">
        <x:v>735</x:v>
      </x:c>
      <x:c r="F4" s="1" t="s">
        <x:v>733</x:v>
      </x:c>
      <x:c r="G4" s="1">
        <x:v>3.0</x:v>
      </x:c>
      <x:c r="H4" s="1">
        <x:v>3.0</x:v>
      </x:c>
      <x:c r="I4" s="1" t="b">
        <x:v>0</x:v>
      </x:c>
      <x:c r="J4" s="1" t="b">
        <x:v>1</x:v>
      </x:c>
      <x:c r="K4" s="1">
        <x:v>3.0</x:v>
      </x:c>
    </x:row>
    <x:row r="5">
      <x:c r="A5" s="1" t="s">
        <x:v>2214</x:v>
      </x:c>
      <x:c r="B5" s="1" t="s">
        <x:v>2195</x:v>
      </x:c>
      <x:c r="C5" s="1" t="s">
        <x:v>2206</x:v>
      </x:c>
      <x:c r="D5" s="1" t="s">
        <x:v>2207</x:v>
      </x:c>
      <x:c r="E5" s="1" t="s">
        <x:v>735</x:v>
      </x:c>
      <x:c r="F5" s="1" t="s">
        <x:v>733</x:v>
      </x:c>
      <x:c r="G5" s="1">
        <x:v>4.0</x:v>
      </x:c>
      <x:c r="H5" s="1">
        <x:v>5.0</x:v>
      </x:c>
      <x:c r="I5" s="1" t="b">
        <x:v>0</x:v>
      </x:c>
      <x:c r="J5" s="1" t="b">
        <x:v>1</x:v>
      </x:c>
      <x:c r="K5" s="1">
        <x:v>1.0</x:v>
      </x:c>
    </x:row>
    <x:row r="6">
      <x:c r="A6" s="1" t="s">
        <x:v>2215</x:v>
      </x:c>
      <x:c r="B6" s="1" t="s">
        <x:v>2195</x:v>
      </x:c>
      <x:c r="C6" s="1" t="s">
        <x:v>2209</x:v>
      </x:c>
      <x:c r="D6" s="1" t="s">
        <x:v>2210</x:v>
      </x:c>
      <x:c r="E6" s="1" t="s">
        <x:v>735</x:v>
      </x:c>
      <x:c r="F6" s="1" t="s">
        <x:v>733</x:v>
      </x:c>
      <x:c r="G6" s="1">
        <x:v>10.0</x:v>
      </x:c>
      <x:c r="H6" s="1">
        <x:v>12.0</x:v>
      </x:c>
      <x:c r="I6" s="1" t="b">
        <x:v>0</x:v>
      </x:c>
      <x:c r="J6" s="1" t="b">
        <x:v>1</x:v>
      </x:c>
      <x:c r="K6" s="1">
        <x:v>2.0</x:v>
      </x:c>
    </x:row>
    <x:row r="7">
      <x:c r="A7" s="1" t="s">
        <x:v>2216</x:v>
      </x:c>
      <x:c r="B7" s="1" t="s">
        <x:v>2195</x:v>
      </x:c>
      <x:c r="C7" s="1" t="s">
        <x:v>2212</x:v>
      </x:c>
      <x:c r="D7" s="1" t="s">
        <x:v>2213</x:v>
      </x:c>
      <x:c r="E7" s="1" t="s">
        <x:v>735</x:v>
      </x:c>
      <x:c r="F7" s="1" t="s">
        <x:v>733</x:v>
      </x:c>
      <x:c r="G7" s="1">
        <x:v>4.0</x:v>
      </x:c>
      <x:c r="H7" s="1">
        <x:v>5.0</x:v>
      </x:c>
      <x:c r="I7" s="1" t="b">
        <x:v>0</x:v>
      </x:c>
      <x:c r="J7" s="1" t="b">
        <x:v>1</x:v>
      </x:c>
      <x:c r="K7" s="1">
        <x:v>3.0</x:v>
      </x:c>
    </x:row>
  </x:sheetData>
  <x:pageMargins left="0.7" right="0.7" top="0.75" bottom="0.75" header="0.3" footer="0.3"/>
</x:worksheet>
</file>

<file path=xl/worksheets/sheet31.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24.3799991607666" hidden="0" customWidth="1"/>
    <x:col min="2" max="2" width="29.5" hidden="0" customWidth="1"/>
    <x:col min="3" max="3" width="13" hidden="0" customWidth="1"/>
    <x:col min="4" max="4" width="15" hidden="0" customWidth="1"/>
    <x:col min="5" max="5" width="27.75" hidden="0" customWidth="1"/>
    <x:col min="6" max="6" width="26.25" hidden="0" customWidth="1"/>
    <x:col min="7" max="7" width="13" hidden="0" customWidth="1"/>
    <x:col min="8" max="8" width="13.75" hidden="0" customWidth="1"/>
    <x:col min="9" max="9" width="12.880000114440918" hidden="0" customWidth="1"/>
    <x:col min="10" max="10" width="12" hidden="0" customWidth="1"/>
    <x:col min="11" max="11" width="34" hidden="0" customWidth="1"/>
    <x:col min="12" max="12" width="12" hidden="0" customWidth="1"/>
    <x:col min="13" max="13" width="13.380000114440918" hidden="0" customWidth="1"/>
    <x:col min="14" max="14" width="12" hidden="0" customWidth="1"/>
    <x:col min="15" max="15" width="12" hidden="0" customWidth="1"/>
    <x:col min="16" max="16" width="12.130000114440918" hidden="0" customWidth="1"/>
    <x:col min="17" max="17" width="12" hidden="0" customWidth="1"/>
    <x:col min="18" max="18" width="14.25" hidden="0" customWidth="1"/>
    <x:col min="19" max="19" width="12" hidden="0" customWidth="1"/>
    <x:col min="20" max="20" width="12" hidden="0" customWidth="1"/>
    <x:col min="21" max="21" width="20.3799991607666" hidden="0" customWidth="1"/>
    <x:col min="22" max="22" width="12" hidden="0" customWidth="1"/>
    <x:col min="23" max="23" width="12.880000114440918" hidden="0" customWidth="1"/>
    <x:col min="24" max="24" width="13.380000114440918" hidden="0" customWidth="1"/>
    <x:col min="25" max="25" width="12" hidden="0" customWidth="1"/>
    <x:col min="26" max="26" width="17.3799991607666" hidden="0" customWidth="1"/>
    <x:col min="27" max="27" width="17.5" hidden="0" customWidth="1"/>
    <x:col min="28" max="28" width="19.25" hidden="0" customWidth="1"/>
    <x:col min="29" max="29" width="14.25" hidden="0" customWidth="1"/>
  </x:cols>
  <x:sheetData>
    <x:row r="1" ht="15.75" hidden="0" customHeight="1">
      <x:c r="A1" s="58" t="str">
        <x:v>PlanID</x:v>
      </x:c>
      <x:c r="B1" s="58" t="str">
        <x:v>PlanName</x:v>
      </x:c>
      <x:c r="C1" s="58" t="str">
        <x:v>PlanTemplateID</x:v>
      </x:c>
      <x:c r="D1" s="58" t="str">
        <x:v>TemplateVariantID</x:v>
      </x:c>
      <x:c r="E1" s="58" t="str">
        <x:v>Plan Type</x:v>
      </x:c>
      <x:c r="F1" s="58" t="str">
        <x:v>PlanTypeID</x:v>
      </x:c>
      <x:c r="G1" s="58" t="str">
        <x:v>ConditionID</x:v>
      </x:c>
      <x:c r="H1" s="58" t="str">
        <x:v>Session Number</x:v>
      </x:c>
      <x:c r="I1" s="58" t="str">
        <x:v>Session Timing</x:v>
      </x:c>
      <x:c r="J1" s="58" t="str">
        <x:v>PhaseID</x:v>
      </x:c>
      <x:c r="K1" s="58" t="str">
        <x:v>Goal</x:v>
      </x:c>
      <x:c r="L1" s="58" t="str">
        <x:v>PathwayID</x:v>
      </x:c>
      <x:c r="M1" s="58" t="str">
        <x:v>Creates Product</x:v>
      </x:c>
      <x:c r="N1" s="58" t="str">
        <x:v>ItemID</x:v>
      </x:c>
      <x:c r="O1" s="58" t="str">
        <x:v>Access Type</x:v>
      </x:c>
      <x:c r="P1" s="58" t="str">
        <x:v>Publish Status</x:v>
      </x:c>
      <x:c r="Q1" s="58" t="str">
        <x:v>Audience</x:v>
      </x:c>
      <x:c r="R1" s="58" t="str">
        <x:v>CreatedByUserID</x:v>
      </x:c>
      <x:c r="S1" s="58" t="str">
        <x:v>OwnerType</x:v>
      </x:c>
      <x:c r="T1" s="58" t="str">
        <x:v>OwnerID</x:v>
      </x:c>
      <x:c r="U1" s="58" t="str">
        <x:v>OwnerInstructorProfileID</x:v>
      </x:c>
      <x:c r="V1" s="58" t="str">
        <x:v>Visibility</x:v>
      </x:c>
      <x:c r="W1" s="58" t="str">
        <x:v>ApprovalStatus</x:v>
      </x:c>
      <x:c r="X1" s="58" t="str">
        <x:v>TemplateSource</x:v>
      </x:c>
      <x:c r="Y1" s="58" t="str">
        <x:v>SourcePlanID</x:v>
      </x:c>
      <x:c r="Z1" s="58" t="str">
        <x:v>IsTemplateGenerated</x:v>
      </x:c>
      <x:c r="AA1" s="58" t="str">
        <x:v>Template Type</x:v>
      </x:c>
      <x:c r="AB1" s="58" t="str">
        <x:v>OriginalPlanTemplateID</x:v>
      </x:c>
      <x:c r="AC1" s="58" t="str">
        <x:v>Validation Status</x:v>
      </x:c>
    </x:row>
    <x:row r="2" ht="15.75" hidden="0" customHeight="1">
      <x:c r="A2" s="57" t="str">
        <x:v>PLAN-FUNC-GEN-001</x:v>
      </x:c>
      <x:c r="B2" s="57" t="str">
        <x:v>General Functional Screen</x:v>
      </x:c>
      <x:c r="C2" s="57"/>
      <x:c r="D2" s="57"/>
      <x:c r="E2" s="57" t="str">
        <x:v>Testing Bundle</x:v>
      </x:c>
      <x:c r="F2" s="57" t="str">
        <x:v>TYPE-PLAN-ASSESSMENT</x:v>
      </x:c>
      <x:c r="G2" s="57"/>
      <x:c r="H2" s="57"/>
      <x:c r="I2" s="57"/>
      <x:c r="J2" s="57"/>
      <x:c r="K2" s="57"/>
      <x:c r="L2" s="57"/>
      <x:c r="M2" s="57"/>
      <x:c r="N2" s="57"/>
      <x:c r="O2" s="57"/>
      <x:c r="P2" s="57"/>
      <x:c r="Q2" s="57" t="str">
        <x:v>Therapist</x:v>
      </x:c>
      <x:c r="R2" s="57"/>
      <x:c r="S2" s="57" t="str">
        <x:v>Recovery Tools</x:v>
      </x:c>
      <x:c r="T2" s="57"/>
      <x:c r="U2" s="57"/>
      <x:c r="V2" s="57" t="str">
        <x:v>System</x:v>
      </x:c>
      <x:c r="W2" s="57" t="str">
        <x:v>Draft</x:v>
      </x:c>
      <x:c r="X2" s="57"/>
      <x:c r="Y2" s="57"/>
      <x:c r="Z2" s="57"/>
      <x:c r="AA2" s="57" t="str">
        <x:v>Recovery Tools Master</x:v>
      </x:c>
      <x:c r="AB2" s="57"/>
      <x:c r="AC2" s="57" t="str">
        <x:v>OK</x:v>
      </x:c>
    </x:row>
    <x:row r="3" ht="15.75" hidden="0" customHeight="1">
      <x:c r="A3" s="57" t="str">
        <x:v>PLAN-FUNC-LX-001</x:v>
      </x:c>
      <x:c r="B3" s="57" t="str">
        <x:v>Lumbar Functional Reassessment</x:v>
      </x:c>
      <x:c r="C3" s="57"/>
      <x:c r="D3" s="57"/>
      <x:c r="E3" s="57" t="str">
        <x:v>Reassessment</x:v>
      </x:c>
      <x:c r="F3" s="57" t="str">
        <x:v>TYPE-PLAN-REASSESSMENT</x:v>
      </x:c>
      <x:c r="G3" s="57"/>
      <x:c r="H3" s="57"/>
      <x:c r="I3" s="57"/>
      <x:c r="J3" s="57"/>
      <x:c r="K3" s="57"/>
      <x:c r="L3" s="57"/>
      <x:c r="M3" s="57"/>
      <x:c r="N3" s="57"/>
      <x:c r="O3" s="57"/>
      <x:c r="P3" s="57"/>
      <x:c r="Q3" s="57" t="str">
        <x:v>Therapist</x:v>
      </x:c>
      <x:c r="R3" s="57"/>
      <x:c r="S3" s="57" t="str">
        <x:v>Therapist</x:v>
      </x:c>
      <x:c r="T3" s="57"/>
      <x:c r="U3" s="57"/>
      <x:c r="V3" s="57" t="str">
        <x:v>Marketplace</x:v>
      </x:c>
      <x:c r="W3" s="57" t="str">
        <x:v>Pending Review</x:v>
      </x:c>
      <x:c r="X3" s="57"/>
      <x:c r="Y3" s="57"/>
      <x:c r="Z3" s="57"/>
      <x:c r="AA3" s="57" t="str">
        <x:v>Therapist Created</x:v>
      </x:c>
      <x:c r="AB3" s="57"/>
      <x:c r="AC3" s="57" t="str">
        <x:v>OK</x:v>
      </x:c>
    </x:row>
    <x:row r="4" ht="15.75" hidden="0" customHeight="1">
      <x:c r="A4" s="57" t="str">
        <x:v>PLAN-FUNC-HIP-001</x:v>
      </x:c>
      <x:c r="B4" s="57" t="str">
        <x:v>Hip Functional Reassessment</x:v>
      </x:c>
      <x:c r="C4" s="57"/>
      <x:c r="D4" s="57"/>
      <x:c r="E4" s="57" t="str">
        <x:v>Reassessment</x:v>
      </x:c>
      <x:c r="F4" s="57" t="str">
        <x:v>TYPE-PLAN-REASSESSMENT</x:v>
      </x:c>
      <x:c r="G4" s="57"/>
      <x:c r="H4" s="57"/>
      <x:c r="I4" s="57"/>
      <x:c r="J4" s="57"/>
      <x:c r="K4" s="57"/>
      <x:c r="L4" s="57"/>
      <x:c r="M4" s="57"/>
      <x:c r="N4" s="57"/>
      <x:c r="O4" s="57"/>
      <x:c r="P4" s="57"/>
      <x:c r="Q4" s="57" t="str">
        <x:v>Therapist</x:v>
      </x:c>
      <x:c r="R4" s="57"/>
      <x:c r="S4" s="57" t="str">
        <x:v>Recovery Tools</x:v>
      </x:c>
      <x:c r="T4" s="57"/>
      <x:c r="U4" s="57"/>
      <x:c r="V4" s="57" t="str">
        <x:v>Public</x:v>
      </x:c>
      <x:c r="W4" s="57" t="str">
        <x:v>Approved</x:v>
      </x:c>
      <x:c r="X4" s="57"/>
      <x:c r="Y4" s="57"/>
      <x:c r="Z4" s="57"/>
      <x:c r="AA4" s="57" t="str">
        <x:v>Therapist Copy</x:v>
      </x:c>
      <x:c r="AB4" s="57"/>
      <x:c r="AC4" s="57" t="str">
        <x:v>OK</x:v>
      </x:c>
    </x:row>
    <x:row r="5" ht="15.75" hidden="0" customHeight="1">
      <x:c r="A5" s="57" t="str">
        <x:v>PLAN-FUNC-CX-001</x:v>
      </x:c>
      <x:c r="B5" s="57" t="str">
        <x:v>Cervical Functional Reassessment</x:v>
      </x:c>
      <x:c r="C5" s="57"/>
      <x:c r="D5" s="57"/>
      <x:c r="E5" s="57" t="str">
        <x:v>Reassessment</x:v>
      </x:c>
      <x:c r="F5" s="57" t="str">
        <x:v>TYPE-PLAN-REASSESSMENT</x:v>
      </x:c>
      <x:c r="G5" s="57"/>
      <x:c r="H5" s="57"/>
      <x:c r="I5" s="57"/>
      <x:c r="J5" s="57"/>
      <x:c r="K5" s="57"/>
      <x:c r="L5" s="57"/>
      <x:c r="M5" s="57"/>
      <x:c r="N5" s="57"/>
      <x:c r="O5" s="57"/>
      <x:c r="P5" s="57"/>
      <x:c r="Q5" s="57" t="str">
        <x:v>Therapist</x:v>
      </x:c>
      <x:c r="R5" s="57"/>
      <x:c r="S5" s="57" t="str">
        <x:v>Clinic</x:v>
      </x:c>
      <x:c r="T5" s="57"/>
      <x:c r="U5" s="57"/>
      <x:c r="V5" s="57" t="str">
        <x:v>Private</x:v>
      </x:c>
      <x:c r="W5" s="57" t="str">
        <x:v>Archived</x:v>
      </x:c>
      <x:c r="X5" s="57"/>
      <x:c r="Y5" s="57"/>
      <x:c r="Z5" s="57"/>
      <x:c r="AA5" s="57" t="str">
        <x:v>Affiliate Created</x:v>
      </x:c>
      <x:c r="AB5" s="57"/>
      <x:c r="AC5" s="57" t="str">
        <x:v>OK</x:v>
      </x:c>
    </x:row>
    <x:row r="6" ht="15.75" hidden="0" customHeight="1">
      <x:c r="A6" s="57" t="str">
        <x:v>PLAN-TRIGGER-BALL-BASICS</x:v>
      </x:c>
      <x:c r="B6" s="57" t="str">
        <x:v>Trigger Ball Basics</x:v>
      </x:c>
      <x:c r="C6" s="57"/>
      <x:c r="D6" s="57"/>
      <x:c r="E6" s="57" t="str">
        <x:v>Course</x:v>
      </x:c>
      <x:c r="F6" s="57" t="str">
        <x:v>TYPE-PLAN-COURSE</x:v>
      </x:c>
      <x:c r="G6" s="57"/>
      <x:c r="H6" s="57"/>
      <x:c r="I6" s="57"/>
      <x:c r="J6" s="57"/>
      <x:c r="K6" s="57"/>
      <x:c r="L6" s="57"/>
      <x:c r="M6" s="57"/>
      <x:c r="N6" s="57"/>
      <x:c r="O6" s="57"/>
      <x:c r="P6" s="57" t="str">
        <x:v>Draft</x:v>
      </x:c>
      <x:c r="Q6" s="57" t="str">
        <x:v>User</x:v>
      </x:c>
      <x:c r="R6" s="57"/>
      <x:c r="S6" s="57" t="str">
        <x:v>Recovery Tools</x:v>
      </x:c>
      <x:c r="T6" s="57"/>
      <x:c r="U6" s="57"/>
      <x:c r="V6" s="57"/>
      <x:c r="W6" s="57"/>
      <x:c r="X6" s="57"/>
      <x:c r="Y6" s="57"/>
      <x:c r="Z6" s="57"/>
      <x:c r="AA6" s="57"/>
      <x:c r="AB6" s="57"/>
      <x:c r="AC6" s="57" t="str">
        <x:v>OK</x:v>
      </x:c>
    </x:row>
    <x:row r="7" ht="15.75" hidden="0" customHeight="1">
      <x:c r="A7" s="57" t="str">
        <x:v>PLAN-BUS-001</x:v>
      </x:c>
      <x:c r="B7" s="57" t="str">
        <x:v>Recovery Campaign Operating System</x:v>
      </x:c>
      <x:c r="C7" s="57"/>
      <x:c r="D7" s="57"/>
      <x:c r="E7" s="57" t="str">
        <x:v>Recovery Tools Business Operations</x:v>
      </x:c>
      <x:c r="F7" s="57" t="str">
        <x:v>TYPE-PLAN-BUSINESS-MANUAL</x:v>
      </x:c>
      <x:c r="G7" s="57"/>
      <x:c r="H7" s="57"/>
      <x:c r="I7" s="57"/>
      <x:c r="J7" s="57"/>
      <x:c r="K7" s="57"/>
      <x:c r="L7" s="57"/>
      <x:c r="M7" s="57"/>
      <x:c r="N7" s="57"/>
      <x:c r="O7" s="57"/>
      <x:c r="P7" s="57"/>
      <x:c r="Q7" s="57" t="str">
        <x:v>Admin</x:v>
      </x:c>
      <x:c r="R7" s="57"/>
      <x:c r="S7" s="57" t="str">
        <x:v>Recovery Tools</x:v>
      </x:c>
      <x:c r="T7" s="57"/>
      <x:c r="U7" s="57"/>
      <x:c r="V7" s="57"/>
      <x:c r="W7" s="57" t="str">
        <x:v>Draft</x:v>
      </x:c>
      <x:c r="X7" s="57"/>
      <x:c r="Y7" s="57"/>
      <x:c r="Z7" s="57"/>
      <x:c r="AA7" s="57" t="str">
        <x:v>Recovery Tools Master</x:v>
      </x:c>
      <x:c r="AB7" s="57"/>
      <x:c r="AC7" s="57" t="str">
        <x:v>OK</x:v>
      </x:c>
    </x:row>
    <x:row r="8" ht="15.75" hidden="0" customHeight="1">
      <x:c r="A8" s="57" t="str">
        <x:v>PLAN-REASS-NEURO-CX-001</x:v>
      </x:c>
      <x:c r="B8" s="57" t="str">
        <x:v>Cervical Neuro Review</x:v>
      </x:c>
      <x:c r="C8" s="57"/>
      <x:c r="D8" s="57"/>
      <x:c r="E8" s="57"/>
      <x:c r="F8" s="57" t="str">
        <x:v>TYPE-PLAN-REASSESSMENT</x:v>
      </x:c>
      <x:c r="G8" s="57" t="str">
        <x:v>REG-CERVICAL</x:v>
      </x:c>
      <x:c r="H8" s="57"/>
      <x:c r="I8" s="57"/>
      <x:c r="J8" s="57"/>
      <x:c r="K8" s="57" t="str">
        <x:v>Cervical radiculopathy and upper limb neural sensitivity</x:v>
      </x:c>
      <x:c r="L8" s="57"/>
      <x:c r="M8" s="57"/>
      <x:c r="N8" s="57"/>
      <x:c r="O8" s="57"/>
      <x:c r="P8" s="57"/>
      <x:c r="Q8" s="57"/>
      <x:c r="R8" s="57"/>
      <x:c r="S8" s="57"/>
      <x:c r="T8" s="57"/>
      <x:c r="U8" s="57"/>
      <x:c r="V8" s="57"/>
      <x:c r="W8" s="57"/>
      <x:c r="X8" s="57"/>
      <x:c r="Y8" s="57"/>
      <x:c r="Z8" s="57"/>
      <x:c r="AA8" s="57"/>
      <x:c r="AB8" s="57"/>
      <x:c r="AC8" s="57" t="str">
        <x:v>Invalid CategoryID</x:v>
      </x:c>
    </x:row>
    <x:row r="9" ht="15.75" hidden="0" customHeight="1">
      <x:c r="A9" s="57" t="str">
        <x:v>PLAN-REASS-NEURO-LX-001</x:v>
      </x:c>
      <x:c r="B9" s="57" t="str">
        <x:v>Lumbar Neuro Review</x:v>
      </x:c>
      <x:c r="C9" s="57"/>
      <x:c r="D9" s="57"/>
      <x:c r="E9" s="57"/>
      <x:c r="F9" s="57" t="str">
        <x:v>TYPE-PLAN-REASSESSMENT</x:v>
      </x:c>
      <x:c r="G9" s="57" t="str">
        <x:v>REG-LUMBAR</x:v>
      </x:c>
      <x:c r="H9" s="57"/>
      <x:c r="I9" s="57"/>
      <x:c r="J9" s="57"/>
      <x:c r="K9" s="57" t="str">
        <x:v>Lumbar radiculopathy and lower limb neural sensitivity</x:v>
      </x:c>
      <x:c r="L9" s="57"/>
      <x:c r="M9" s="57"/>
      <x:c r="N9" s="57"/>
      <x:c r="O9" s="57"/>
      <x:c r="P9" s="57"/>
      <x:c r="Q9" s="57"/>
      <x:c r="R9" s="57"/>
      <x:c r="S9" s="57"/>
      <x:c r="T9" s="57"/>
      <x:c r="U9" s="57"/>
      <x:c r="V9" s="57"/>
      <x:c r="W9" s="57"/>
      <x:c r="X9" s="57"/>
      <x:c r="Y9" s="57"/>
      <x:c r="Z9" s="57"/>
      <x:c r="AA9" s="57"/>
      <x:c r="AB9" s="57"/>
      <x:c r="AC9" s="57" t="str">
        <x:v>Invalid CategoryID</x:v>
      </x:c>
    </x:row>
    <x:row r="10" ht="15.75" hidden="0" customHeight="1">
      <x:c r="A10" s="57" t="str">
        <x:v>PLAN-REASS-HEADACHE-001</x:v>
      </x:c>
      <x:c r="B10" s="57" t="str">
        <x:v>Cervicogenic Headache Neuro Review</x:v>
      </x:c>
      <x:c r="C10" s="57"/>
      <x:c r="D10" s="57"/>
      <x:c r="E10" s="57"/>
      <x:c r="F10" s="57" t="str">
        <x:v>TYPE-PLAN-REASSESSMENT</x:v>
      </x:c>
      <x:c r="G10" s="57" t="str">
        <x:v>REG-CERVICAL</x:v>
      </x:c>
      <x:c r="H10" s="57"/>
      <x:c r="I10" s="57"/>
      <x:c r="J10" s="57"/>
      <x:c r="K10" s="57" t="str">
        <x:v>Cranial and occipital nerve sensitivity</x:v>
      </x:c>
      <x:c r="L10" s="57"/>
      <x:c r="M10" s="57"/>
      <x:c r="N10" s="57"/>
      <x:c r="O10" s="57"/>
      <x:c r="P10" s="57"/>
      <x:c r="Q10" s="57"/>
      <x:c r="R10" s="57"/>
      <x:c r="S10" s="57"/>
      <x:c r="T10" s="57"/>
      <x:c r="U10" s="57"/>
      <x:c r="V10" s="57"/>
      <x:c r="W10" s="57"/>
      <x:c r="X10" s="57"/>
      <x:c r="Y10" s="57"/>
      <x:c r="Z10" s="57"/>
      <x:c r="AA10" s="57"/>
      <x:c r="AB10" s="57"/>
      <x:c r="AC10" s="57" t="str">
        <x:v>Invalid CategoryID</x:v>
      </x:c>
    </x:row>
    <x:row r="11"/>
    <x:row r="12"/>
    <x:row r="13"/>
    <x:row r="14"/>
    <x:row r="15"/>
    <x:row r="16" ht="15.75" hidden="0" customHeight="1">
      <x:c r="U16"/>
      <x:c r="V16"/>
    </x:row>
  </x:sheetData>
  <x:conditionalFormatting sqref="AC2:AC10">
    <x:cfRule type="expression" dxfId="5" priority="1">
      <x:formula>AC2&lt;&gt;"OK"</x:formula>
    </x:cfRule>
  </x:conditionalFormatting>
  <x:dataValidations count="1">
    <x:dataValidation type="list" allowBlank="1" showDropDown="0" sqref="F2:F10">
      <x:formula1>"TYPE-PLAN-COURSE,TYPE-PLAN-WORKSHOP,TYPE-PLAN-TREATMENT-PLAN,TYPE-PLAN-ASSESSMENT,TYPE-PLAN-REASSESSMENT,TYPE-PLAN-BUSINESS-MANUAL,TYPE-PLAN-RECOVERY-PLAN,TYPE-PLAN-MARKETING-CAMPAIGN-PLAN"</x:formula1>
    </x:dataValidation>
  </x:dataValidations>
  <x:pageMargins left="0.7" right="0.7" top="0.75" bottom="0.75" header="0.3" footer="0.3"/>
  <x:tableParts count="1">
    <x:tablePart xmlns:r="http://schemas.openxmlformats.org/officeDocument/2006/relationships" r:id="Rce6a934a184e430d"/>
  </x:tableParts>
</x:worksheet>
</file>

<file path=xl/worksheets/sheet32.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1.25" hidden="0" customWidth="1"/>
    <x:col min="2" max="2" width="24.3799991607666" hidden="0" customWidth="1"/>
    <x:col min="3" max="3" width="12" hidden="0" customWidth="1"/>
    <x:col min="4" max="4" width="12" hidden="0" customWidth="1"/>
    <x:col min="5" max="5" width="13.5" hidden="0" customWidth="1"/>
    <x:col min="6" max="6" width="20.6299991607666" hidden="0" customWidth="1"/>
    <x:col min="7" max="7" width="12" hidden="0" customWidth="1"/>
    <x:col min="8" max="8" width="12.380000114440918" hidden="0" customWidth="1"/>
    <x:col min="9" max="9" width="12" hidden="0" customWidth="1"/>
    <x:col min="10" max="10" width="12" hidden="0" customWidth="1"/>
    <x:col min="11" max="11" width="12.75" hidden="0" customWidth="1"/>
    <x:col min="12" max="12" width="15.25" hidden="0" customWidth="1"/>
    <x:col min="13" max="13" width="12" hidden="0" customWidth="1"/>
    <x:col min="14" max="14" width="16.25" hidden="0" customWidth="1"/>
    <x:col min="15" max="15" width="12" hidden="0" customWidth="1"/>
    <x:col min="16" max="16" width="12" hidden="0" customWidth="1"/>
    <x:col min="17" max="17" width="14.880000114440918" hidden="0" customWidth="1"/>
  </x:cols>
  <x:sheetData>
    <x:row r="1" ht="15.75" hidden="0" customHeight="1">
      <x:c r="A1" s="58" t="str">
        <x:v>PlanItemID</x:v>
      </x:c>
      <x:c r="B1" s="58" t="str">
        <x:v>PlanID</x:v>
      </x:c>
      <x:c r="C1" s="58" t="str">
        <x:v>SlotID</x:v>
      </x:c>
      <x:c r="D1" s="58" t="str">
        <x:v>SectionName</x:v>
      </x:c>
      <x:c r="E1" s="58" t="str">
        <x:v>ComponentKind</x:v>
      </x:c>
      <x:c r="F1" s="58" t="str">
        <x:v>BlueprintID</x:v>
      </x:c>
      <x:c r="G1" s="58" t="str">
        <x:v>SlotOrder</x:v>
      </x:c>
      <x:c r="H1" s="58" t="str">
        <x:v>IsRequiredSlot</x:v>
      </x:c>
      <x:c r="I1" s="58" t="str">
        <x:v>Item Type</x:v>
      </x:c>
      <x:c r="J1" s="58" t="str">
        <x:v>SOAP Section</x:v>
      </x:c>
      <x:c r="K1" s="58" t="str">
        <x:v>Default Dosage</x:v>
      </x:c>
      <x:c r="L1" s="58" t="str">
        <x:v>Default SOAP Line</x:v>
      </x:c>
      <x:c r="M1" s="58" t="str">
        <x:v>Required</x:v>
      </x:c>
      <x:c r="N1" s="58" t="str">
        <x:v>CustomInstructions</x:v>
      </x:c>
      <x:c r="O1" s="58" t="str">
        <x:v>Notes</x:v>
      </x:c>
      <x:c r="P1" s="58" t="str">
        <x:v>ItemID</x:v>
      </x:c>
      <x:c r="Q1" s="58" t="str">
        <x:v>Validation Status</x:v>
      </x:c>
    </x:row>
    <x:row r="2" ht="15.75" hidden="0" customHeight="1">
      <x:c r="A2" s="57" t="str">
        <x:v>PLAN_ITEM-FUNC-001</x:v>
      </x:c>
      <x:c r="B2" s="57" t="str">
        <x:v>PLAN-FUNC-GEN-001</x:v>
      </x:c>
      <x:c r="C2" s="57"/>
      <x:c r="D2" s="57" t="str">
        <x:v>Warm Up</x:v>
      </x:c>
      <x:c r="E2" s="57" t="str">
        <x:v>Blueprint</x:v>
      </x:c>
      <x:c r="F2" s="57" t="str">
        <x:v>BLUE-FUNC-001</x:v>
      </x:c>
      <x:c r="G2" s="57" t="n">
        <x:v>1</x:v>
      </x:c>
      <x:c r="H2" s="57"/>
      <x:c r="I2" s="57"/>
      <x:c r="J2" s="57"/>
      <x:c r="K2" s="57"/>
      <x:c r="L2" s="57"/>
      <x:c r="M2" s="57"/>
      <x:c r="N2" s="57"/>
      <x:c r="O2" s="57"/>
      <x:c r="P2" s="57" t="str"/>
      <x:c r="Q2" s="57" t="str">
        <x:v>OK</x:v>
      </x:c>
    </x:row>
    <x:row r="3" ht="15.75" hidden="0" customHeight="1">
      <x:c r="A3" s="57" t="str">
        <x:v>PLAN_ITEM-FUNC-002</x:v>
      </x:c>
      <x:c r="B3" s="57" t="str">
        <x:v>PLAN-FUNC-GEN-001</x:v>
      </x:c>
      <x:c r="C3" s="57"/>
      <x:c r="D3" s="57" t="str">
        <x:v>Main Exercise</x:v>
      </x:c>
      <x:c r="E3" s="57" t="str">
        <x:v>Blueprint</x:v>
      </x:c>
      <x:c r="F3" s="57" t="str">
        <x:v>BLUE-FUNC-002</x:v>
      </x:c>
      <x:c r="G3" s="57" t="n">
        <x:v>2</x:v>
      </x:c>
      <x:c r="H3" s="57"/>
      <x:c r="I3" s="57"/>
      <x:c r="J3" s="57"/>
      <x:c r="K3" s="57"/>
      <x:c r="L3" s="57"/>
      <x:c r="M3" s="57"/>
      <x:c r="N3" s="57"/>
      <x:c r="O3" s="57"/>
      <x:c r="P3" s="57" t="str"/>
      <x:c r="Q3" s="57" t="str">
        <x:v>OK</x:v>
      </x:c>
    </x:row>
    <x:row r="4" ht="15.75" hidden="0" customHeight="1">
      <x:c r="A4" s="57" t="str">
        <x:v>PLAN_ITEM-FUNC-003</x:v>
      </x:c>
      <x:c r="B4" s="57" t="str">
        <x:v>PLAN-FUNC-GEN-001</x:v>
      </x:c>
      <x:c r="C4" s="57"/>
      <x:c r="D4" s="57" t="str">
        <x:v>Main Exercise</x:v>
      </x:c>
      <x:c r="E4" s="57" t="str">
        <x:v>Blueprint</x:v>
      </x:c>
      <x:c r="F4" s="57" t="str">
        <x:v>BLUE-FUNC-003</x:v>
      </x:c>
      <x:c r="G4" s="57" t="n">
        <x:v>3</x:v>
      </x:c>
      <x:c r="H4" s="57"/>
      <x:c r="I4" s="57"/>
      <x:c r="J4" s="57"/>
      <x:c r="K4" s="57"/>
      <x:c r="L4" s="57"/>
      <x:c r="M4" s="57"/>
      <x:c r="N4" s="57"/>
      <x:c r="O4" s="57"/>
      <x:c r="P4" s="57" t="str"/>
      <x:c r="Q4" s="57" t="str">
        <x:v>OK</x:v>
      </x:c>
    </x:row>
    <x:row r="5" ht="15.75" hidden="0" customHeight="1">
      <x:c r="A5" s="57" t="str">
        <x:v>PLAN_ITEM-FUNC-004</x:v>
      </x:c>
      <x:c r="B5" s="57" t="str">
        <x:v>PLAN-FUNC-GEN-001</x:v>
      </x:c>
      <x:c r="C5" s="57"/>
      <x:c r="D5" s="57" t="str">
        <x:v>Main Exercise</x:v>
      </x:c>
      <x:c r="E5" s="57" t="str">
        <x:v>Blueprint</x:v>
      </x:c>
      <x:c r="F5" s="57" t="str">
        <x:v>BLUE-FUNC-004</x:v>
      </x:c>
      <x:c r="G5" s="57" t="n">
        <x:v>4</x:v>
      </x:c>
      <x:c r="H5" s="57"/>
      <x:c r="I5" s="57"/>
      <x:c r="J5" s="57"/>
      <x:c r="K5" s="57"/>
      <x:c r="L5" s="57"/>
      <x:c r="M5" s="57"/>
      <x:c r="N5" s="57"/>
      <x:c r="O5" s="57"/>
      <x:c r="P5" s="57" t="str"/>
      <x:c r="Q5" s="57" t="str">
        <x:v>OK</x:v>
      </x:c>
    </x:row>
    <x:row r="6" ht="15.75" hidden="0" customHeight="1">
      <x:c r="A6" s="57" t="str">
        <x:v>PLAN_ITEM-FUNC-005</x:v>
      </x:c>
      <x:c r="B6" s="57" t="str">
        <x:v>PLAN-FUNC-GEN-001</x:v>
      </x:c>
      <x:c r="C6" s="57"/>
      <x:c r="D6" s="57" t="str">
        <x:v>Cool Down</x:v>
      </x:c>
      <x:c r="E6" s="57" t="str">
        <x:v>Blueprint</x:v>
      </x:c>
      <x:c r="F6" s="57" t="str">
        <x:v>BLUE-FUNC-005</x:v>
      </x:c>
      <x:c r="G6" s="57" t="n">
        <x:v>5</x:v>
      </x:c>
      <x:c r="H6" s="57"/>
      <x:c r="I6" s="57"/>
      <x:c r="J6" s="57"/>
      <x:c r="K6" s="57"/>
      <x:c r="L6" s="57"/>
      <x:c r="M6" s="57"/>
      <x:c r="N6" s="57"/>
      <x:c r="O6" s="57"/>
      <x:c r="P6" s="57" t="str"/>
      <x:c r="Q6" s="57" t="str">
        <x:v>OK</x:v>
      </x:c>
    </x:row>
    <x:row r="7" ht="15.75" hidden="0" customHeight="1">
      <x:c r="A7" s="57" t="str">
        <x:v>PLAN-ITEM-COURSE-TB-001</x:v>
      </x:c>
      <x:c r="B7" s="57" t="str">
        <x:v>PLAN-TRIGGER-BALL-BASICS</x:v>
      </x:c>
      <x:c r="C7" s="57"/>
      <x:c r="D7" s="57"/>
      <x:c r="E7" s="57" t="str"/>
      <x:c r="F7" s="57"/>
      <x:c r="G7" s="57" t="n">
        <x:v>1</x:v>
      </x:c>
      <x:c r="H7" s="57"/>
      <x:c r="I7" s="57"/>
      <x:c r="J7" s="57"/>
      <x:c r="K7" s="57"/>
      <x:c r="L7" s="57"/>
      <x:c r="M7" s="57"/>
      <x:c r="N7" s="57"/>
      <x:c r="O7" s="57"/>
      <x:c r="P7" s="57" t="str"/>
      <x:c r="Q7" s="57" t="str">
        <x:v>Missing component</x:v>
      </x:c>
    </x:row>
    <x:row r="8" ht="15.75" hidden="0" customHeight="1">
      <x:c r="A8" s="57" t="str">
        <x:v>PLAN-ITEM-COURSE-TB-002</x:v>
      </x:c>
      <x:c r="B8" s="57" t="str">
        <x:v>PLAN-TRIGGER-BALL-BASICS</x:v>
      </x:c>
      <x:c r="C8" s="57"/>
      <x:c r="D8" s="57"/>
      <x:c r="E8" s="57" t="str"/>
      <x:c r="F8" s="57"/>
      <x:c r="G8" s="57" t="n">
        <x:v>2</x:v>
      </x:c>
      <x:c r="H8" s="57"/>
      <x:c r="I8" s="57"/>
      <x:c r="J8" s="57"/>
      <x:c r="K8" s="57"/>
      <x:c r="L8" s="57"/>
      <x:c r="M8" s="57"/>
      <x:c r="N8" s="57"/>
      <x:c r="O8" s="57"/>
      <x:c r="P8" s="57" t="str"/>
      <x:c r="Q8" s="57" t="str">
        <x:v>Missing component</x:v>
      </x:c>
    </x:row>
    <x:row r="9" ht="15.75" hidden="0" customHeight="1">
      <x:c r="A9" s="57" t="str">
        <x:v>PLAN-ITEM-BUS-001</x:v>
      </x:c>
      <x:c r="B9" s="57" t="str">
        <x:v>PLAN-BUS-001</x:v>
      </x:c>
      <x:c r="C9" s="57"/>
      <x:c r="D9" s="57"/>
      <x:c r="E9" s="57" t="str">
        <x:v>Blueprint</x:v>
      </x:c>
      <x:c r="F9" s="57" t="str">
        <x:v>BLUE-BUS-001</x:v>
      </x:c>
      <x:c r="G9" s="57" t="n">
        <x:v>1</x:v>
      </x:c>
      <x:c r="H9" s="57"/>
      <x:c r="I9" s="57"/>
      <x:c r="J9" s="57"/>
      <x:c r="K9" s="57"/>
      <x:c r="L9" s="57"/>
      <x:c r="M9" s="57"/>
      <x:c r="N9" s="57"/>
      <x:c r="O9" s="57"/>
      <x:c r="P9" s="57" t="str"/>
      <x:c r="Q9" s="57" t="str">
        <x:v>OK</x:v>
      </x:c>
    </x:row>
    <x:row r="10" ht="15.75" hidden="0" customHeight="1">
      <x:c r="A10" s="57" t="str">
        <x:v>PLAN-ITEM-BUS-002</x:v>
      </x:c>
      <x:c r="B10" s="57" t="str">
        <x:v>PLAN-BUS-001</x:v>
      </x:c>
      <x:c r="C10" s="57"/>
      <x:c r="D10" s="57"/>
      <x:c r="E10" s="57" t="str">
        <x:v>Blueprint</x:v>
      </x:c>
      <x:c r="F10" s="57" t="str">
        <x:v>BLUE-BUS-002</x:v>
      </x:c>
      <x:c r="G10" s="57" t="n">
        <x:v>2</x:v>
      </x:c>
      <x:c r="H10" s="57"/>
      <x:c r="I10" s="57"/>
      <x:c r="J10" s="57"/>
      <x:c r="K10" s="57"/>
      <x:c r="L10" s="57"/>
      <x:c r="M10" s="57"/>
      <x:c r="N10" s="57"/>
      <x:c r="O10" s="57"/>
      <x:c r="P10" s="57" t="str"/>
      <x:c r="Q10" s="57" t="str">
        <x:v>OK</x:v>
      </x:c>
    </x:row>
    <x:row r="11" ht="15.75" hidden="0" customHeight="1">
      <x:c r="A11" s="57" t="str">
        <x:v>PLAN-ITEM-BUS-003</x:v>
      </x:c>
      <x:c r="B11" s="57" t="str">
        <x:v>PLAN-BUS-001</x:v>
      </x:c>
      <x:c r="C11" s="57"/>
      <x:c r="D11" s="57"/>
      <x:c r="E11" s="57" t="str">
        <x:v>Blueprint</x:v>
      </x:c>
      <x:c r="F11" s="57" t="str">
        <x:v>BLUE-BUS-003</x:v>
      </x:c>
      <x:c r="G11" s="57" t="n">
        <x:v>3</x:v>
      </x:c>
      <x:c r="H11" s="57"/>
      <x:c r="I11" s="57"/>
      <x:c r="J11" s="57"/>
      <x:c r="K11" s="57"/>
      <x:c r="L11" s="57"/>
      <x:c r="M11" s="57"/>
      <x:c r="N11" s="57"/>
      <x:c r="O11" s="57"/>
      <x:c r="P11" s="57" t="str"/>
      <x:c r="Q11" s="57" t="str">
        <x:v>OK</x:v>
      </x:c>
    </x:row>
    <x:row r="12" ht="15.75" hidden="0" customHeight="1">
      <x:c r="A12" s="57" t="str">
        <x:v>PLAN-ITEM-BUS-004</x:v>
      </x:c>
      <x:c r="B12" s="57" t="str">
        <x:v>PLAN-BUS-001</x:v>
      </x:c>
      <x:c r="C12" s="57"/>
      <x:c r="D12" s="57"/>
      <x:c r="E12" s="57" t="str">
        <x:v>Blueprint</x:v>
      </x:c>
      <x:c r="F12" s="57" t="str">
        <x:v>BLUE-BUS-004</x:v>
      </x:c>
      <x:c r="G12" s="57" t="n">
        <x:v>4</x:v>
      </x:c>
      <x:c r="H12" s="57"/>
      <x:c r="I12" s="57"/>
      <x:c r="J12" s="57"/>
      <x:c r="K12" s="57"/>
      <x:c r="L12" s="57"/>
      <x:c r="M12" s="57"/>
      <x:c r="N12" s="57"/>
      <x:c r="O12" s="57"/>
      <x:c r="P12" s="57" t="str"/>
      <x:c r="Q12" s="57" t="str">
        <x:v>OK</x:v>
      </x:c>
    </x:row>
    <x:row r="13" ht="15.75" hidden="0" customHeight="1">
      <x:c r="A13" s="57" t="str">
        <x:v>PLAN-ITEM-BUS-005</x:v>
      </x:c>
      <x:c r="B13" s="57" t="str">
        <x:v>PLAN-BUS-001</x:v>
      </x:c>
      <x:c r="C13" s="57"/>
      <x:c r="D13" s="57"/>
      <x:c r="E13" s="57" t="str">
        <x:v>Blueprint</x:v>
      </x:c>
      <x:c r="F13" s="57" t="str">
        <x:v>BLUE-BUS-005</x:v>
      </x:c>
      <x:c r="G13" s="57" t="n">
        <x:v>5</x:v>
      </x:c>
      <x:c r="H13" s="57"/>
      <x:c r="I13" s="57"/>
      <x:c r="J13" s="57"/>
      <x:c r="K13" s="57"/>
      <x:c r="L13" s="57"/>
      <x:c r="M13" s="57"/>
      <x:c r="N13" s="57"/>
      <x:c r="O13" s="57"/>
      <x:c r="P13" s="57" t="str"/>
      <x:c r="Q13" s="57" t="str">
        <x:v>OK</x:v>
      </x:c>
    </x:row>
    <x:row r="14" ht="15.75" hidden="0" customHeight="1">
      <x:c r="A14" s="57" t="str">
        <x:v>PLAN-ITEM-BUS-006</x:v>
      </x:c>
      <x:c r="B14" s="57" t="str">
        <x:v>PLAN-BUS-001</x:v>
      </x:c>
      <x:c r="C14" s="57"/>
      <x:c r="D14" s="57"/>
      <x:c r="E14" s="57" t="str">
        <x:v>Blueprint</x:v>
      </x:c>
      <x:c r="F14" s="57" t="str">
        <x:v>BLUE-BUS-006</x:v>
      </x:c>
      <x:c r="G14" s="57" t="n">
        <x:v>6</x:v>
      </x:c>
      <x:c r="H14" s="57"/>
      <x:c r="I14" s="57"/>
      <x:c r="J14" s="57"/>
      <x:c r="K14" s="57"/>
      <x:c r="L14" s="57"/>
      <x:c r="M14" s="57"/>
      <x:c r="N14" s="57"/>
      <x:c r="O14" s="57"/>
      <x:c r="P14" s="57" t="str"/>
      <x:c r="Q14" s="57" t="str">
        <x:v>OK</x:v>
      </x:c>
    </x:row>
    <x:row r="15" ht="15.75" hidden="0" customHeight="1">
      <x:c r="A15" s="57" t="str">
        <x:v>PLAN-ITEM-BUS-007</x:v>
      </x:c>
      <x:c r="B15" s="57" t="str">
        <x:v>PLAN-BUS-001</x:v>
      </x:c>
      <x:c r="C15" s="57"/>
      <x:c r="D15" s="57"/>
      <x:c r="E15" s="57" t="str">
        <x:v>Blueprint</x:v>
      </x:c>
      <x:c r="F15" s="57" t="str">
        <x:v>BLUE-BUS-007</x:v>
      </x:c>
      <x:c r="G15" s="57" t="n">
        <x:v>7</x:v>
      </x:c>
      <x:c r="H15" s="57"/>
      <x:c r="I15" s="57"/>
      <x:c r="J15" s="57"/>
      <x:c r="K15" s="57"/>
      <x:c r="L15" s="57"/>
      <x:c r="M15" s="57"/>
      <x:c r="N15" s="57"/>
      <x:c r="O15" s="57"/>
      <x:c r="P15" s="57" t="str"/>
      <x:c r="Q15" s="57" t="str">
        <x:v>OK</x:v>
      </x:c>
    </x:row>
    <x:row r="16" ht="15.75" hidden="0" customHeight="1">
      <x:c r="A16" s="57" t="str">
        <x:v>PLAN-ITEM-BUS-008</x:v>
      </x:c>
      <x:c r="B16" s="57" t="str">
        <x:v>PLAN-BUS-001</x:v>
      </x:c>
      <x:c r="C16" s="57"/>
      <x:c r="D16" s="57"/>
      <x:c r="E16" s="57" t="str">
        <x:v>Blueprint</x:v>
      </x:c>
      <x:c r="F16" s="57" t="str">
        <x:v>BLUE-BUS-008</x:v>
      </x:c>
      <x:c r="G16" s="57" t="n">
        <x:v>8</x:v>
      </x:c>
      <x:c r="H16" s="57"/>
      <x:c r="I16" s="57"/>
      <x:c r="J16" s="57"/>
      <x:c r="K16" s="57"/>
      <x:c r="L16" s="57"/>
      <x:c r="M16" s="57"/>
      <x:c r="N16" s="57"/>
      <x:c r="O16" s="57"/>
      <x:c r="P16" s="57" t="str"/>
      <x:c r="Q16" s="57" t="str">
        <x:v>OK</x:v>
      </x:c>
    </x:row>
    <x:row r="17" ht="15.75" hidden="0" customHeight="1">
      <x:c r="A17" s="57" t="str">
        <x:v>PLAN-ITEM-BUS-009</x:v>
      </x:c>
      <x:c r="B17" s="57" t="str">
        <x:v>PLAN-BUS-001</x:v>
      </x:c>
      <x:c r="C17" s="57"/>
      <x:c r="D17" s="57"/>
      <x:c r="E17" s="57" t="str">
        <x:v>Blueprint</x:v>
      </x:c>
      <x:c r="F17" s="57" t="str">
        <x:v>BLUE-BUS-009</x:v>
      </x:c>
      <x:c r="G17" s="57" t="n">
        <x:v>9</x:v>
      </x:c>
      <x:c r="H17" s="57"/>
      <x:c r="I17" s="57"/>
      <x:c r="J17" s="57"/>
      <x:c r="K17" s="57"/>
      <x:c r="L17" s="57"/>
      <x:c r="M17" s="57"/>
      <x:c r="N17" s="57"/>
      <x:c r="O17" s="57"/>
      <x:c r="P17" s="57" t="str"/>
      <x:c r="Q17" s="57" t="str">
        <x:v>OK</x:v>
      </x:c>
    </x:row>
    <x:row r="18" ht="15.75" hidden="0" customHeight="1">
      <x:c r="A18" s="57" t="str">
        <x:v>PLAN-ITEM-BUS-010</x:v>
      </x:c>
      <x:c r="B18" s="57" t="str">
        <x:v>PLAN-BUS-001</x:v>
      </x:c>
      <x:c r="C18" s="57"/>
      <x:c r="D18" s="57"/>
      <x:c r="E18" s="57" t="str">
        <x:v>Blueprint</x:v>
      </x:c>
      <x:c r="F18" s="57" t="str">
        <x:v>BLUE-BUS-010</x:v>
      </x:c>
      <x:c r="G18" s="57" t="n">
        <x:v>10</x:v>
      </x:c>
      <x:c r="H18" s="57"/>
      <x:c r="I18" s="57"/>
      <x:c r="J18" s="57"/>
      <x:c r="K18" s="57"/>
      <x:c r="L18" s="57"/>
      <x:c r="M18" s="57"/>
      <x:c r="N18" s="57"/>
      <x:c r="O18" s="57"/>
      <x:c r="P18" s="57" t="str"/>
      <x:c r="Q18" s="57" t="str">
        <x:v>OK</x:v>
      </x:c>
    </x:row>
    <x:row r="19" ht="15.75" hidden="0" customHeight="1">
      <x:c r="A19" s="57" t="str">
        <x:v>PLAN-ITEM-BUS-011</x:v>
      </x:c>
      <x:c r="B19" s="57" t="str">
        <x:v>PLAN-BUS-001</x:v>
      </x:c>
      <x:c r="C19" s="57"/>
      <x:c r="D19" s="57"/>
      <x:c r="E19" s="57" t="str">
        <x:v>Blueprint</x:v>
      </x:c>
      <x:c r="F19" s="57" t="str">
        <x:v>BLUE-BUS-011</x:v>
      </x:c>
      <x:c r="G19" s="57" t="n">
        <x:v>11</x:v>
      </x:c>
      <x:c r="H19" s="57"/>
      <x:c r="I19" s="57"/>
      <x:c r="J19" s="57"/>
      <x:c r="K19" s="57"/>
      <x:c r="L19" s="57"/>
      <x:c r="M19" s="57"/>
      <x:c r="N19" s="57"/>
      <x:c r="O19" s="57"/>
      <x:c r="P19" s="57" t="str"/>
      <x:c r="Q19" s="57" t="str">
        <x:v>OK</x:v>
      </x:c>
    </x:row>
    <x:row r="20" ht="15.75" hidden="0" customHeight="1">
      <x:c r="A20" s="57" t="str">
        <x:v>PLAN-ITEM-BUS-012</x:v>
      </x:c>
      <x:c r="B20" s="57" t="str">
        <x:v>PLAN-BUS-001</x:v>
      </x:c>
      <x:c r="C20" s="57"/>
      <x:c r="D20" s="57"/>
      <x:c r="E20" s="57" t="str">
        <x:v>Blueprint</x:v>
      </x:c>
      <x:c r="F20" s="57" t="str">
        <x:v>BLUE-BUS-012</x:v>
      </x:c>
      <x:c r="G20" s="57" t="n">
        <x:v>12</x:v>
      </x:c>
      <x:c r="H20" s="57"/>
      <x:c r="I20" s="57"/>
      <x:c r="J20" s="57"/>
      <x:c r="K20" s="57"/>
      <x:c r="L20" s="57"/>
      <x:c r="M20" s="57"/>
      <x:c r="N20" s="57"/>
      <x:c r="O20" s="57"/>
      <x:c r="P20" s="57" t="str"/>
      <x:c r="Q20" s="57" t="str">
        <x:v>OK</x:v>
      </x:c>
    </x:row>
    <x:row r="21" ht="15.75" hidden="0" customHeight="1">
      <x:c r="A21" s="57" t="str">
        <x:v>PLAN-ITEM-BUS-013</x:v>
      </x:c>
      <x:c r="B21" s="57" t="str">
        <x:v>PLAN-BUS-001</x:v>
      </x:c>
      <x:c r="C21" s="57"/>
      <x:c r="D21" s="57"/>
      <x:c r="E21" s="57" t="str">
        <x:v>Blueprint</x:v>
      </x:c>
      <x:c r="F21" s="57" t="str">
        <x:v>BLUE-BUS-013</x:v>
      </x:c>
      <x:c r="G21" s="57" t="n">
        <x:v>13</x:v>
      </x:c>
      <x:c r="H21" s="57"/>
      <x:c r="I21" s="57"/>
      <x:c r="J21" s="57"/>
      <x:c r="K21" s="57"/>
      <x:c r="L21" s="57"/>
      <x:c r="M21" s="57"/>
      <x:c r="N21" s="57"/>
      <x:c r="O21" s="57"/>
      <x:c r="P21" s="57" t="str"/>
      <x:c r="Q21" s="57" t="str">
        <x:v>OK</x:v>
      </x:c>
    </x:row>
    <x:row r="22" ht="15.75" hidden="0" customHeight="1">
      <x:c r="A22" s="57" t="str">
        <x:v>PLAN-ITEM-BUS-014</x:v>
      </x:c>
      <x:c r="B22" s="57" t="str">
        <x:v>PLAN-BUS-001</x:v>
      </x:c>
      <x:c r="C22" s="57"/>
      <x:c r="D22" s="57"/>
      <x:c r="E22" s="57" t="str">
        <x:v>Blueprint</x:v>
      </x:c>
      <x:c r="F22" s="57" t="str">
        <x:v>BLUE-BUS-014</x:v>
      </x:c>
      <x:c r="G22" s="57" t="n">
        <x:v>14</x:v>
      </x:c>
      <x:c r="H22" s="57"/>
      <x:c r="I22" s="57"/>
      <x:c r="J22" s="57"/>
      <x:c r="K22" s="57"/>
      <x:c r="L22" s="57"/>
      <x:c r="M22" s="57"/>
      <x:c r="N22" s="57"/>
      <x:c r="O22" s="57"/>
      <x:c r="P22" s="57" t="str"/>
      <x:c r="Q22" s="57" t="str">
        <x:v>OK</x:v>
      </x:c>
    </x:row>
    <x:row r="23" ht="15.75" hidden="0" customHeight="1">
      <x:c r="A23" s="57" t="str">
        <x:v>PLAN-ITEM-BUS-015</x:v>
      </x:c>
      <x:c r="B23" s="57" t="str">
        <x:v>PLAN-BUS-001</x:v>
      </x:c>
      <x:c r="C23" s="57"/>
      <x:c r="D23" s="57"/>
      <x:c r="E23" s="57" t="str">
        <x:v>Blueprint</x:v>
      </x:c>
      <x:c r="F23" s="57" t="str">
        <x:v>BLUE-BUS-015</x:v>
      </x:c>
      <x:c r="G23" s="57" t="n">
        <x:v>15</x:v>
      </x:c>
      <x:c r="H23" s="57"/>
      <x:c r="I23" s="57"/>
      <x:c r="J23" s="57"/>
      <x:c r="K23" s="57"/>
      <x:c r="L23" s="57"/>
      <x:c r="M23" s="57"/>
      <x:c r="N23" s="57"/>
      <x:c r="O23" s="57"/>
      <x:c r="P23" s="57" t="str"/>
      <x:c r="Q23" s="57" t="str">
        <x:v>OK</x:v>
      </x:c>
    </x:row>
    <x:row r="24" ht="15.75" hidden="0" customHeight="1">
      <x:c r="A24" s="57" t="str">
        <x:v>PLAN-ITEM-BUS-016</x:v>
      </x:c>
      <x:c r="B24" s="57" t="str">
        <x:v>PLAN-BUS-001</x:v>
      </x:c>
      <x:c r="C24" s="57"/>
      <x:c r="D24" s="57"/>
      <x:c r="E24" s="57" t="str">
        <x:v>Blueprint</x:v>
      </x:c>
      <x:c r="F24" s="57" t="str">
        <x:v>BLUE-BUS-016</x:v>
      </x:c>
      <x:c r="G24" s="57" t="n">
        <x:v>16</x:v>
      </x:c>
      <x:c r="H24" s="57"/>
      <x:c r="I24" s="57"/>
      <x:c r="J24" s="57"/>
      <x:c r="K24" s="57"/>
      <x:c r="L24" s="57"/>
      <x:c r="M24" s="57"/>
      <x:c r="N24" s="57"/>
      <x:c r="O24" s="57"/>
      <x:c r="P24" s="57" t="str"/>
      <x:c r="Q24" s="57" t="str">
        <x:v>OK</x:v>
      </x:c>
    </x:row>
    <x:row r="25" ht="15.75" hidden="0" customHeight="1">
      <x:c r="A25" s="57" t="str">
        <x:v>PLAN-ITEM-REASS-NEURO-001</x:v>
      </x:c>
      <x:c r="B25" s="57" t="str">
        <x:v>REASS-NEURO-CX-001</x:v>
      </x:c>
      <x:c r="C25" s="57"/>
      <x:c r="D25" s="57"/>
      <x:c r="E25" s="57" t="str">
        <x:v>Blueprint</x:v>
      </x:c>
      <x:c r="F25" s="57" t="str">
        <x:v>BLUE-TEST-CX-004</x:v>
      </x:c>
      <x:c r="G25" s="57" t="n">
        <x:v>1</x:v>
      </x:c>
      <x:c r="H25" s="57"/>
      <x:c r="I25" s="57"/>
      <x:c r="J25" s="57"/>
      <x:c r="K25" s="57"/>
      <x:c r="L25" s="57"/>
      <x:c r="M25" s="57"/>
      <x:c r="N25" s="57"/>
      <x:c r="O25" s="57"/>
      <x:c r="P25" s="57" t="str"/>
      <x:c r="Q25" s="57" t="str">
        <x:v>Invalid PlanID</x:v>
      </x:c>
    </x:row>
    <x:row r="26" ht="15.75" hidden="0" customHeight="1">
      <x:c r="A26" s="57" t="str">
        <x:v>PLAN-ITEM-REASS-NEURO-002</x:v>
      </x:c>
      <x:c r="B26" s="57" t="str">
        <x:v>REASS-NEURO-CX-001</x:v>
      </x:c>
      <x:c r="C26" s="57"/>
      <x:c r="D26" s="57"/>
      <x:c r="E26" s="57" t="str">
        <x:v>Blueprint</x:v>
      </x:c>
      <x:c r="F26" s="57" t="str">
        <x:v>BLUE-TEST-NEURO-005</x:v>
      </x:c>
      <x:c r="G26" s="57" t="n">
        <x:v>2</x:v>
      </x:c>
      <x:c r="H26" s="57"/>
      <x:c r="I26" s="57"/>
      <x:c r="J26" s="57"/>
      <x:c r="K26" s="57"/>
      <x:c r="L26" s="57"/>
      <x:c r="M26" s="57"/>
      <x:c r="N26" s="57"/>
      <x:c r="O26" s="57"/>
      <x:c r="P26" s="57" t="str"/>
      <x:c r="Q26" s="57" t="str">
        <x:v>Invalid PlanID</x:v>
      </x:c>
    </x:row>
    <x:row r="27" ht="15.75" hidden="0" customHeight="1">
      <x:c r="A27" s="57" t="str">
        <x:v>PLAN-ITEM-REASS-NEURO-003</x:v>
      </x:c>
      <x:c r="B27" s="57" t="str">
        <x:v>REASS-NEURO-CX-001</x:v>
      </x:c>
      <x:c r="C27" s="57"/>
      <x:c r="D27" s="57"/>
      <x:c r="E27" s="57" t="str">
        <x:v>Blueprint</x:v>
      </x:c>
      <x:c r="F27" s="57" t="str">
        <x:v>BLUE-TEST-NEURO-003</x:v>
      </x:c>
      <x:c r="G27" s="57" t="n">
        <x:v>3</x:v>
      </x:c>
      <x:c r="H27" s="57"/>
      <x:c r="I27" s="57"/>
      <x:c r="J27" s="57"/>
      <x:c r="K27" s="57"/>
      <x:c r="L27" s="57"/>
      <x:c r="M27" s="57"/>
      <x:c r="N27" s="57"/>
      <x:c r="O27" s="57"/>
      <x:c r="P27" s="57" t="str"/>
      <x:c r="Q27" s="57" t="str">
        <x:v>Invalid PlanID</x:v>
      </x:c>
    </x:row>
    <x:row r="28" ht="15.75" hidden="0" customHeight="1">
      <x:c r="A28" s="57" t="str">
        <x:v>PLAN-ITEM-REASS-NEURO-004</x:v>
      </x:c>
      <x:c r="B28" s="57" t="str">
        <x:v>REASS-NEURO-CX-001</x:v>
      </x:c>
      <x:c r="C28" s="57"/>
      <x:c r="D28" s="57"/>
      <x:c r="E28" s="57" t="str">
        <x:v>Blueprint</x:v>
      </x:c>
      <x:c r="F28" s="57" t="str">
        <x:v>BLUE-TEST-NEURO-006</x:v>
      </x:c>
      <x:c r="G28" s="57" t="n">
        <x:v>4</x:v>
      </x:c>
      <x:c r="H28" s="57"/>
      <x:c r="I28" s="57"/>
      <x:c r="J28" s="57"/>
      <x:c r="K28" s="57"/>
      <x:c r="L28" s="57"/>
      <x:c r="M28" s="57"/>
      <x:c r="N28" s="57"/>
      <x:c r="O28" s="57"/>
      <x:c r="P28" s="57" t="str"/>
      <x:c r="Q28" s="57" t="str">
        <x:v>Invalid PlanID</x:v>
      </x:c>
    </x:row>
    <x:row r="29" ht="15.75" hidden="0" customHeight="1">
      <x:c r="A29" s="57" t="str">
        <x:v>PLAN-ITEM-REASS-NEURO-005</x:v>
      </x:c>
      <x:c r="B29" s="57" t="str">
        <x:v>REASS-NEURO-CX-001</x:v>
      </x:c>
      <x:c r="C29" s="57"/>
      <x:c r="D29" s="57"/>
      <x:c r="E29" s="57" t="str">
        <x:v>Blueprint</x:v>
      </x:c>
      <x:c r="F29" s="57" t="str">
        <x:v>BLUE-TREAT-CX-004</x:v>
      </x:c>
      <x:c r="G29" s="57" t="n">
        <x:v>5</x:v>
      </x:c>
      <x:c r="H29" s="57"/>
      <x:c r="I29" s="57"/>
      <x:c r="J29" s="57"/>
      <x:c r="K29" s="57"/>
      <x:c r="L29" s="57"/>
      <x:c r="M29" s="57"/>
      <x:c r="N29" s="57"/>
      <x:c r="O29" s="57"/>
      <x:c r="P29" s="57" t="str"/>
      <x:c r="Q29" s="57" t="str">
        <x:v>Invalid PlanID</x:v>
      </x:c>
    </x:row>
    <x:row r="30" ht="15.75" hidden="0" customHeight="1">
      <x:c r="A30" s="57" t="str">
        <x:v>PLAN-ITEM-REASS-NEURO-LX-001</x:v>
      </x:c>
      <x:c r="B30" s="57" t="str">
        <x:v>REASS-NEURO-LX-001</x:v>
      </x:c>
      <x:c r="C30" s="57"/>
      <x:c r="D30" s="57"/>
      <x:c r="E30" s="57" t="str">
        <x:v>Blueprint</x:v>
      </x:c>
      <x:c r="F30" s="57" t="str">
        <x:v>BLUE-TEST-NEURO-008</x:v>
      </x:c>
      <x:c r="G30" s="57" t="n">
        <x:v>1</x:v>
      </x:c>
      <x:c r="H30" s="57"/>
      <x:c r="I30" s="57"/>
      <x:c r="J30" s="57"/>
      <x:c r="K30" s="57"/>
      <x:c r="L30" s="57"/>
      <x:c r="M30" s="57"/>
      <x:c r="N30" s="57"/>
      <x:c r="O30" s="57"/>
      <x:c r="P30" s="57" t="str"/>
      <x:c r="Q30" s="57" t="str">
        <x:v>Invalid PlanID</x:v>
      </x:c>
    </x:row>
    <x:row r="31" ht="15.75" hidden="0" customHeight="1">
      <x:c r="A31" s="57" t="str">
        <x:v>PLAN-ITEM-REASS-NEURO-LX-002</x:v>
      </x:c>
      <x:c r="B31" s="57" t="str">
        <x:v>REASS-NEURO-LX-001</x:v>
      </x:c>
      <x:c r="C31" s="57"/>
      <x:c r="D31" s="57"/>
      <x:c r="E31" s="57" t="str">
        <x:v>Blueprint</x:v>
      </x:c>
      <x:c r="F31" s="57" t="str">
        <x:v>BLUE-TEST-NEURO-009</x:v>
      </x:c>
      <x:c r="G31" s="57" t="n">
        <x:v>2</x:v>
      </x:c>
      <x:c r="H31" s="57"/>
      <x:c r="I31" s="57"/>
      <x:c r="J31" s="57"/>
      <x:c r="K31" s="57"/>
      <x:c r="L31" s="57"/>
      <x:c r="M31" s="57"/>
      <x:c r="N31" s="57"/>
      <x:c r="O31" s="57"/>
      <x:c r="P31" s="57" t="str"/>
      <x:c r="Q31" s="57" t="str">
        <x:v>Invalid PlanID</x:v>
      </x:c>
    </x:row>
    <x:row r="32" ht="15.75" hidden="0" customHeight="1">
      <x:c r="A32" s="57" t="str">
        <x:v>PLAN-ITEM-REASS-NEURO-LX-003</x:v>
      </x:c>
      <x:c r="B32" s="57" t="str">
        <x:v>REASS-NEURO-LX-001</x:v>
      </x:c>
      <x:c r="C32" s="57"/>
      <x:c r="D32" s="57"/>
      <x:c r="E32" s="57" t="str">
        <x:v>Blueprint</x:v>
      </x:c>
      <x:c r="F32" s="57" t="str">
        <x:v>BLUE-TEST-NEURO-010</x:v>
      </x:c>
      <x:c r="G32" s="57" t="n">
        <x:v>3</x:v>
      </x:c>
      <x:c r="H32" s="57"/>
      <x:c r="I32" s="57"/>
      <x:c r="J32" s="57"/>
      <x:c r="K32" s="57"/>
      <x:c r="L32" s="57"/>
      <x:c r="M32" s="57"/>
      <x:c r="N32" s="57"/>
      <x:c r="O32" s="57"/>
      <x:c r="P32" s="57" t="str"/>
      <x:c r="Q32" s="57" t="str">
        <x:v>Invalid PlanID</x:v>
      </x:c>
    </x:row>
    <x:row r="33" ht="15.75" hidden="0" customHeight="1">
      <x:c r="A33" s="57" t="str">
        <x:v>PLAN-ITEM-REASS-NEURO-LX-004</x:v>
      </x:c>
      <x:c r="B33" s="57" t="str">
        <x:v>REASS-NEURO-LX-001</x:v>
      </x:c>
      <x:c r="C33" s="57"/>
      <x:c r="D33" s="57"/>
      <x:c r="E33" s="57" t="str">
        <x:v>Blueprint</x:v>
      </x:c>
      <x:c r="F33" s="57" t="str">
        <x:v>BLUE-TEST-NEURO-011</x:v>
      </x:c>
      <x:c r="G33" s="57" t="n">
        <x:v>4</x:v>
      </x:c>
      <x:c r="H33" s="57"/>
      <x:c r="I33" s="57"/>
      <x:c r="J33" s="57"/>
      <x:c r="K33" s="57"/>
      <x:c r="L33" s="57"/>
      <x:c r="M33" s="57"/>
      <x:c r="N33" s="57"/>
      <x:c r="O33" s="57"/>
      <x:c r="P33" s="57" t="str"/>
      <x:c r="Q33" s="57" t="str">
        <x:v>Invalid PlanID</x:v>
      </x:c>
    </x:row>
    <x:row r="34" ht="15.75" hidden="0" customHeight="1">
      <x:c r="A34" s="57" t="str">
        <x:v>PLAN-ITEM-REASS-NEURO-LX-005</x:v>
      </x:c>
      <x:c r="B34" s="57" t="str">
        <x:v>REASS-NEURO-LX-001</x:v>
      </x:c>
      <x:c r="C34" s="57"/>
      <x:c r="D34" s="57"/>
      <x:c r="E34" s="57" t="str">
        <x:v>Blueprint</x:v>
      </x:c>
      <x:c r="F34" s="57" t="str">
        <x:v>BLUE-TEST-NEURO-013</x:v>
      </x:c>
      <x:c r="G34" s="57" t="n">
        <x:v>5</x:v>
      </x:c>
      <x:c r="H34" s="57"/>
      <x:c r="I34" s="57"/>
      <x:c r="J34" s="57"/>
      <x:c r="K34" s="57"/>
      <x:c r="L34" s="57"/>
      <x:c r="M34" s="57"/>
      <x:c r="N34" s="57"/>
      <x:c r="O34" s="57"/>
      <x:c r="P34" s="57" t="str"/>
      <x:c r="Q34" s="57" t="str">
        <x:v>Invalid PlanID</x:v>
      </x:c>
    </x:row>
    <x:row r="35" ht="15.75" hidden="0" customHeight="1">
      <x:c r="A35" s="57" t="str">
        <x:v>PLAN-ITEM-REASS-HEADACHE-001-01</x:v>
      </x:c>
      <x:c r="B35" s="57" t="str">
        <x:v>REASS-HEADACHE-001</x:v>
      </x:c>
      <x:c r="C35" s="57"/>
      <x:c r="D35" s="57"/>
      <x:c r="E35" s="57" t="str">
        <x:v>Blueprint</x:v>
      </x:c>
      <x:c r="F35" s="57" t="str">
        <x:v>BLUE-TEST-NEURO-001</x:v>
      </x:c>
      <x:c r="G35" s="57" t="n">
        <x:v>1</x:v>
      </x:c>
      <x:c r="H35" s="57"/>
      <x:c r="I35" s="57"/>
      <x:c r="J35" s="57"/>
      <x:c r="K35" s="57"/>
      <x:c r="L35" s="57"/>
      <x:c r="M35" s="57"/>
      <x:c r="N35" s="57"/>
      <x:c r="O35" s="57"/>
      <x:c r="P35" s="57" t="str"/>
      <x:c r="Q35" s="57" t="str">
        <x:v>Invalid PlanID</x:v>
      </x:c>
    </x:row>
    <x:row r="36" ht="15.75" hidden="0" customHeight="1">
      <x:c r="A36" s="57" t="str">
        <x:v>PLAN-ITEM-REASS-HEADACHE-001-02</x:v>
      </x:c>
      <x:c r="B36" s="57" t="str">
        <x:v>REASS-HEADACHE-001</x:v>
      </x:c>
      <x:c r="C36" s="57"/>
      <x:c r="D36" s="57"/>
      <x:c r="E36" s="57" t="str">
        <x:v>Blueprint</x:v>
      </x:c>
      <x:c r="F36" s="57" t="str">
        <x:v>BLUE-TEST-NEURO-002</x:v>
      </x:c>
      <x:c r="G36" s="57" t="n">
        <x:v>2</x:v>
      </x:c>
      <x:c r="H36" s="57"/>
      <x:c r="I36" s="57"/>
      <x:c r="J36" s="57"/>
      <x:c r="K36" s="57"/>
      <x:c r="L36" s="57"/>
      <x:c r="M36" s="57"/>
      <x:c r="N36" s="57"/>
      <x:c r="O36" s="57"/>
      <x:c r="P36" s="57" t="str"/>
      <x:c r="Q36" s="57" t="str">
        <x:v>Invalid PlanID</x:v>
      </x:c>
    </x:row>
    <x:row r="37" ht="15.75" hidden="0" customHeight="1">
      <x:c r="A37" s="57" t="str">
        <x:v>PLAN-ITEM-REASS-HEADACHE-001-03</x:v>
      </x:c>
      <x:c r="B37" s="57" t="str">
        <x:v>REASS-HEADACHE-001</x:v>
      </x:c>
      <x:c r="C37" s="57"/>
      <x:c r="D37" s="57"/>
      <x:c r="E37" s="57" t="str">
        <x:v>Blueprint</x:v>
      </x:c>
      <x:c r="F37" s="57" t="str">
        <x:v>BLUE-TREAT-NEURO-003</x:v>
      </x:c>
      <x:c r="G37" s="57" t="n">
        <x:v>3</x:v>
      </x:c>
      <x:c r="H37" s="57"/>
      <x:c r="I37" s="57"/>
      <x:c r="J37" s="57"/>
      <x:c r="K37" s="57"/>
      <x:c r="L37" s="57"/>
      <x:c r="M37" s="57"/>
      <x:c r="N37" s="57"/>
      <x:c r="O37" s="57"/>
      <x:c r="P37" s="57" t="str"/>
      <x:c r="Q37" s="57" t="str">
        <x:v>Invalid PlanID</x:v>
      </x:c>
    </x:row>
    <x:row r="38" ht="15.75" hidden="0" customHeight="1">
      <x:c r="A38" s="57" t="str">
        <x:v>PLAN-ITEM-REASS-HEADACHE-001-04</x:v>
      </x:c>
      <x:c r="B38" s="57" t="str">
        <x:v>REASS-HEADACHE-001</x:v>
      </x:c>
      <x:c r="C38" s="57"/>
      <x:c r="D38" s="57"/>
      <x:c r="E38" s="57" t="str">
        <x:v>Blueprint</x:v>
      </x:c>
      <x:c r="F38" s="57" t="str">
        <x:v>BLUE-TREAT-NEURO-004</x:v>
      </x:c>
      <x:c r="G38" s="57" t="n">
        <x:v>4</x:v>
      </x:c>
      <x:c r="H38" s="57"/>
      <x:c r="I38" s="57"/>
      <x:c r="J38" s="57"/>
      <x:c r="K38" s="57"/>
      <x:c r="L38" s="57"/>
      <x:c r="M38" s="57"/>
      <x:c r="N38" s="57"/>
      <x:c r="O38" s="57"/>
      <x:c r="P38" s="57" t="str"/>
      <x:c r="Q38" s="57" t="str">
        <x:v>Invalid PlanID</x:v>
      </x:c>
    </x:row>
    <x:row r="39" ht="15.75" hidden="0" customHeight="1">
      <x:c r="A39" s="57" t="str">
        <x:v>PLAN-ITEM-REASS-NEURO-CX-001</x:v>
      </x:c>
      <x:c r="B39" s="57" t="str">
        <x:v>PLAN-REASS-NEURO-CX-001</x:v>
      </x:c>
      <x:c r="C39" s="57"/>
      <x:c r="D39" s="57"/>
      <x:c r="E39" s="57" t="str">
        <x:v>Blueprint</x:v>
      </x:c>
      <x:c r="F39" s="57" t="str">
        <x:v>BLUE-TEST-CX-004</x:v>
      </x:c>
      <x:c r="G39" s="57" t="n">
        <x:v>1</x:v>
      </x:c>
      <x:c r="H39" s="57"/>
      <x:c r="I39" s="57"/>
      <x:c r="J39" s="57"/>
      <x:c r="K39" s="57"/>
      <x:c r="L39" s="57"/>
      <x:c r="M39" s="57"/>
      <x:c r="N39" s="57"/>
      <x:c r="O39" s="57"/>
      <x:c r="P39" s="57" t="str"/>
      <x:c r="Q39" s="57" t="str">
        <x:v>OK</x:v>
      </x:c>
    </x:row>
    <x:row r="40" ht="15.75" hidden="0" customHeight="1">
      <x:c r="A40" s="57" t="str">
        <x:v>PLAN-ITEM-REASS-NEURO-CX-001</x:v>
      </x:c>
      <x:c r="B40" s="57" t="str">
        <x:v>PLAN-REASS-NEURO-CX-001</x:v>
      </x:c>
      <x:c r="C40" s="57"/>
      <x:c r="D40" s="57"/>
      <x:c r="E40" s="57" t="str">
        <x:v>Blueprint</x:v>
      </x:c>
      <x:c r="F40" s="57" t="str">
        <x:v>BLUE-TEST-NEURO-005</x:v>
      </x:c>
      <x:c r="G40" s="57" t="n">
        <x:v>2</x:v>
      </x:c>
      <x:c r="H40" s="57"/>
      <x:c r="I40" s="57"/>
      <x:c r="J40" s="57"/>
      <x:c r="K40" s="57"/>
      <x:c r="L40" s="57"/>
      <x:c r="M40" s="57"/>
      <x:c r="N40" s="57"/>
      <x:c r="O40" s="57"/>
      <x:c r="P40" s="57" t="str"/>
      <x:c r="Q40" s="57" t="str">
        <x:v>OK</x:v>
      </x:c>
    </x:row>
    <x:row r="41" ht="15.75" hidden="0" customHeight="1">
      <x:c r="A41" s="57" t="str">
        <x:v>PLAN-ITEM-REASS-NEURO-CX-001</x:v>
      </x:c>
      <x:c r="B41" s="57" t="str">
        <x:v>PLAN-REASS-NEURO-CX-001</x:v>
      </x:c>
      <x:c r="C41" s="57"/>
      <x:c r="D41" s="57"/>
      <x:c r="E41" s="57" t="str">
        <x:v>Blueprint</x:v>
      </x:c>
      <x:c r="F41" s="57" t="str">
        <x:v>BLUE-TEST-NEURO-003</x:v>
      </x:c>
      <x:c r="G41" s="57" t="n">
        <x:v>3</x:v>
      </x:c>
      <x:c r="H41" s="57"/>
      <x:c r="I41" s="57"/>
      <x:c r="J41" s="57"/>
      <x:c r="K41" s="57"/>
      <x:c r="L41" s="57"/>
      <x:c r="M41" s="57"/>
      <x:c r="N41" s="57"/>
      <x:c r="O41" s="57"/>
      <x:c r="P41" s="57" t="str"/>
      <x:c r="Q41" s="57" t="str">
        <x:v>OK</x:v>
      </x:c>
    </x:row>
    <x:row r="42" ht="15.75" hidden="0" customHeight="1">
      <x:c r="A42" s="57" t="str">
        <x:v>PLAN-ITEM-REASS-NEURO-CX-001</x:v>
      </x:c>
      <x:c r="B42" s="57" t="str">
        <x:v>PLAN-REASS-NEURO-CX-001</x:v>
      </x:c>
      <x:c r="C42" s="57"/>
      <x:c r="D42" s="57"/>
      <x:c r="E42" s="57" t="str">
        <x:v>Blueprint</x:v>
      </x:c>
      <x:c r="F42" s="57" t="str">
        <x:v>BLUE-TEST-NEURO-006</x:v>
      </x:c>
      <x:c r="G42" s="57" t="n">
        <x:v>4</x:v>
      </x:c>
      <x:c r="H42" s="57"/>
      <x:c r="I42" s="57"/>
      <x:c r="J42" s="57"/>
      <x:c r="K42" s="57"/>
      <x:c r="L42" s="57"/>
      <x:c r="M42" s="57"/>
      <x:c r="N42" s="57"/>
      <x:c r="O42" s="57"/>
      <x:c r="P42" s="57" t="str"/>
      <x:c r="Q42" s="57" t="str">
        <x:v>OK</x:v>
      </x:c>
    </x:row>
    <x:row r="43" ht="15.75" hidden="0" customHeight="1">
      <x:c r="A43" s="57" t="str">
        <x:v>PLAN-ITEM-REASS-NEURO-CX-001</x:v>
      </x:c>
      <x:c r="B43" s="57" t="str">
        <x:v>PLAN-REASS-NEURO-CX-001</x:v>
      </x:c>
      <x:c r="C43" s="57"/>
      <x:c r="D43" s="57"/>
      <x:c r="E43" s="57" t="str">
        <x:v>Blueprint</x:v>
      </x:c>
      <x:c r="F43" s="57" t="str">
        <x:v>BLUE-TREAT-CX-004</x:v>
      </x:c>
      <x:c r="G43" s="57" t="n">
        <x:v>5</x:v>
      </x:c>
      <x:c r="H43" s="57"/>
      <x:c r="I43" s="57"/>
      <x:c r="J43" s="57"/>
      <x:c r="K43" s="57"/>
      <x:c r="L43" s="57"/>
      <x:c r="M43" s="57"/>
      <x:c r="N43" s="57"/>
      <x:c r="O43" s="57"/>
      <x:c r="P43" s="57" t="str"/>
      <x:c r="Q43" s="57" t="str">
        <x:v>OK</x:v>
      </x:c>
    </x:row>
    <x:row r="44" ht="15.75" hidden="0" customHeight="1">
      <x:c r="A44" s="57" t="str">
        <x:v>PLAN-ITEM-REASS-NEURO-LX-001</x:v>
      </x:c>
      <x:c r="B44" s="57" t="str">
        <x:v>PLAN-REASS-NEURO-LX-001</x:v>
      </x:c>
      <x:c r="C44" s="57"/>
      <x:c r="D44" s="57"/>
      <x:c r="E44" s="57" t="str">
        <x:v>Blueprint</x:v>
      </x:c>
      <x:c r="F44" s="57" t="str">
        <x:v>BLUE-TEST-NEURO-008</x:v>
      </x:c>
      <x:c r="G44" s="57" t="n">
        <x:v>1</x:v>
      </x:c>
      <x:c r="H44" s="57"/>
      <x:c r="I44" s="57"/>
      <x:c r="J44" s="57"/>
      <x:c r="K44" s="57"/>
      <x:c r="L44" s="57"/>
      <x:c r="M44" s="57"/>
      <x:c r="N44" s="57"/>
      <x:c r="O44" s="57"/>
      <x:c r="P44" s="57" t="str"/>
      <x:c r="Q44" s="57" t="str">
        <x:v>OK</x:v>
      </x:c>
    </x:row>
    <x:row r="45" ht="15.75" hidden="0" customHeight="1">
      <x:c r="A45" s="57" t="str">
        <x:v>PLAN-ITEM-REASS-NEURO-LX-001</x:v>
      </x:c>
      <x:c r="B45" s="57" t="str">
        <x:v>PLAN-REASS-NEURO-LX-001</x:v>
      </x:c>
      <x:c r="C45" s="57"/>
      <x:c r="D45" s="57"/>
      <x:c r="E45" s="57" t="str">
        <x:v>Blueprint</x:v>
      </x:c>
      <x:c r="F45" s="57" t="str">
        <x:v>BLUE-TEST-NEURO-009</x:v>
      </x:c>
      <x:c r="G45" s="57" t="n">
        <x:v>2</x:v>
      </x:c>
      <x:c r="H45" s="57"/>
      <x:c r="I45" s="57"/>
      <x:c r="J45" s="57"/>
      <x:c r="K45" s="57"/>
      <x:c r="L45" s="57"/>
      <x:c r="M45" s="57"/>
      <x:c r="N45" s="57"/>
      <x:c r="O45" s="57"/>
      <x:c r="P45" s="57" t="str"/>
      <x:c r="Q45" s="57" t="str">
        <x:v>OK</x:v>
      </x:c>
    </x:row>
    <x:row r="46" ht="15.75" hidden="0" customHeight="1">
      <x:c r="A46" s="57" t="str">
        <x:v>PLAN-ITEM-REASS-NEURO-LX-001</x:v>
      </x:c>
      <x:c r="B46" s="57" t="str">
        <x:v>PLAN-REASS-NEURO-LX-001</x:v>
      </x:c>
      <x:c r="C46" s="57"/>
      <x:c r="D46" s="57"/>
      <x:c r="E46" s="57" t="str">
        <x:v>Blueprint</x:v>
      </x:c>
      <x:c r="F46" s="57" t="str">
        <x:v>BLUE-TEST-NEURO-010</x:v>
      </x:c>
      <x:c r="G46" s="57" t="n">
        <x:v>3</x:v>
      </x:c>
      <x:c r="H46" s="57"/>
      <x:c r="I46" s="57"/>
      <x:c r="J46" s="57"/>
      <x:c r="K46" s="57"/>
      <x:c r="L46" s="57"/>
      <x:c r="M46" s="57"/>
      <x:c r="N46" s="57"/>
      <x:c r="O46" s="57"/>
      <x:c r="P46" s="57" t="str"/>
      <x:c r="Q46" s="57" t="str">
        <x:v>OK</x:v>
      </x:c>
    </x:row>
    <x:row r="47" ht="15.75" hidden="0" customHeight="1">
      <x:c r="A47" s="57" t="str">
        <x:v>PLAN-ITEM-REASS-NEURO-LX-001</x:v>
      </x:c>
      <x:c r="B47" s="57" t="str">
        <x:v>PLAN-REASS-NEURO-LX-001</x:v>
      </x:c>
      <x:c r="C47" s="57"/>
      <x:c r="D47" s="57"/>
      <x:c r="E47" s="57" t="str">
        <x:v>Blueprint</x:v>
      </x:c>
      <x:c r="F47" s="57" t="str">
        <x:v>BLUE-TEST-NEURO-011</x:v>
      </x:c>
      <x:c r="G47" s="57" t="n">
        <x:v>4</x:v>
      </x:c>
      <x:c r="H47" s="57"/>
      <x:c r="I47" s="57"/>
      <x:c r="J47" s="57"/>
      <x:c r="K47" s="57"/>
      <x:c r="L47" s="57"/>
      <x:c r="M47" s="57"/>
      <x:c r="N47" s="57"/>
      <x:c r="O47" s="57"/>
      <x:c r="P47" s="57" t="str"/>
      <x:c r="Q47" s="57" t="str">
        <x:v>OK</x:v>
      </x:c>
    </x:row>
    <x:row r="48" ht="15.75" hidden="0" customHeight="1">
      <x:c r="A48" s="57" t="str">
        <x:v>PLAN-ITEM-REASS-NEURO-LX-001</x:v>
      </x:c>
      <x:c r="B48" s="57" t="str">
        <x:v>PLAN-REASS-NEURO-LX-001</x:v>
      </x:c>
      <x:c r="C48" s="57"/>
      <x:c r="D48" s="57"/>
      <x:c r="E48" s="57" t="str">
        <x:v>Blueprint</x:v>
      </x:c>
      <x:c r="F48" s="57" t="str">
        <x:v>BLUE-TEST-NEURO-013</x:v>
      </x:c>
      <x:c r="G48" s="57" t="n">
        <x:v>5</x:v>
      </x:c>
      <x:c r="H48" s="57"/>
      <x:c r="I48" s="57"/>
      <x:c r="J48" s="57"/>
      <x:c r="K48" s="57"/>
      <x:c r="L48" s="57"/>
      <x:c r="M48" s="57"/>
      <x:c r="N48" s="57"/>
      <x:c r="O48" s="57"/>
      <x:c r="P48" s="57" t="str"/>
      <x:c r="Q48" s="57" t="str">
        <x:v>OK</x:v>
      </x:c>
    </x:row>
    <x:row r="49" ht="15.75" hidden="0" customHeight="1">
      <x:c r="A49" s="57" t="str">
        <x:v>PLAN-ITEM-REASS-HEADACHE-001</x:v>
      </x:c>
      <x:c r="B49" s="57" t="str">
        <x:v>PLAN-REASS-HEADACHE-001</x:v>
      </x:c>
      <x:c r="C49" s="57"/>
      <x:c r="D49" s="57"/>
      <x:c r="E49" s="57" t="str">
        <x:v>Blueprint</x:v>
      </x:c>
      <x:c r="F49" s="57" t="str">
        <x:v>BLUE-TEST-NEURO-001</x:v>
      </x:c>
      <x:c r="G49" s="57" t="n">
        <x:v>1</x:v>
      </x:c>
      <x:c r="H49" s="57"/>
      <x:c r="I49" s="57"/>
      <x:c r="J49" s="57"/>
      <x:c r="K49" s="57"/>
      <x:c r="L49" s="57"/>
      <x:c r="M49" s="57"/>
      <x:c r="N49" s="57"/>
      <x:c r="O49" s="57"/>
      <x:c r="P49" s="57" t="str"/>
      <x:c r="Q49" s="57" t="str">
        <x:v>OK</x:v>
      </x:c>
    </x:row>
    <x:row r="50" ht="15.75" hidden="0" customHeight="1">
      <x:c r="A50" s="57" t="str">
        <x:v>PLAN-ITEM-REASS-HEADACHE-001</x:v>
      </x:c>
      <x:c r="B50" s="57" t="str">
        <x:v>PLAN-REASS-HEADACHE-001</x:v>
      </x:c>
      <x:c r="C50" s="57"/>
      <x:c r="D50" s="57"/>
      <x:c r="E50" s="57" t="str">
        <x:v>Blueprint</x:v>
      </x:c>
      <x:c r="F50" s="57" t="str">
        <x:v>BLUE-TEST-NEURO-002</x:v>
      </x:c>
      <x:c r="G50" s="57" t="n">
        <x:v>2</x:v>
      </x:c>
      <x:c r="H50" s="57"/>
      <x:c r="I50" s="57"/>
      <x:c r="J50" s="57"/>
      <x:c r="K50" s="57"/>
      <x:c r="L50" s="57"/>
      <x:c r="M50" s="57"/>
      <x:c r="N50" s="57"/>
      <x:c r="O50" s="57"/>
      <x:c r="P50" s="57" t="str"/>
      <x:c r="Q50" s="57" t="str">
        <x:v>OK</x:v>
      </x:c>
    </x:row>
    <x:row r="51" ht="15.75" hidden="0" customHeight="1">
      <x:c r="A51" s="57" t="str">
        <x:v>PLAN-ITEM-REASS-HEADACHE-001</x:v>
      </x:c>
      <x:c r="B51" s="57" t="str">
        <x:v>PLAN-REASS-HEADACHE-001</x:v>
      </x:c>
      <x:c r="C51" s="57"/>
      <x:c r="D51" s="57"/>
      <x:c r="E51" s="57" t="str">
        <x:v>Blueprint</x:v>
      </x:c>
      <x:c r="F51" s="57" t="str">
        <x:v>BLUE-TREAT-NEURO-003</x:v>
      </x:c>
      <x:c r="G51" s="57" t="n">
        <x:v>3</x:v>
      </x:c>
      <x:c r="H51" s="57"/>
      <x:c r="I51" s="57"/>
      <x:c r="J51" s="57"/>
      <x:c r="K51" s="57"/>
      <x:c r="L51" s="57"/>
      <x:c r="M51" s="57"/>
      <x:c r="N51" s="57"/>
      <x:c r="O51" s="57"/>
      <x:c r="P51" s="57" t="str"/>
      <x:c r="Q51" s="57" t="str">
        <x:v>OK</x:v>
      </x:c>
    </x:row>
    <x:row r="52" ht="15.75" hidden="0" customHeight="1">
      <x:c r="A52" s="57" t="str">
        <x:v>PLAN-ITEM-REASS-HEADACHE-001</x:v>
      </x:c>
      <x:c r="B52" s="57" t="str">
        <x:v>PLAN-REASS-HEADACHE-001</x:v>
      </x:c>
      <x:c r="C52" s="57"/>
      <x:c r="D52" s="57"/>
      <x:c r="E52" s="57" t="str">
        <x:v>Blueprint</x:v>
      </x:c>
      <x:c r="F52" s="57" t="str">
        <x:v>BLUE-TREAT-NEURO-004</x:v>
      </x:c>
      <x:c r="G52" s="57" t="n">
        <x:v>4</x:v>
      </x:c>
      <x:c r="H52" s="57"/>
      <x:c r="I52" s="57"/>
      <x:c r="J52" s="57"/>
      <x:c r="K52" s="57"/>
      <x:c r="L52" s="57"/>
      <x:c r="M52" s="57"/>
      <x:c r="N52" s="57"/>
      <x:c r="O52" s="57"/>
      <x:c r="P52" s="57" t="str"/>
      <x:c r="Q52" s="57" t="str">
        <x:v>OK</x:v>
      </x:c>
    </x:row>
  </x:sheetData>
  <x:dataValidations count="1">
    <x:dataValidation type="list" allowBlank="1" showDropDown="0" sqref="E2:E52">
      <x:formula1>"Blueprint,Item"</x:formula1>
    </x:dataValidation>
  </x:dataValidations>
  <x:pageMargins left="0.7" right="0.7" top="0.75" bottom="0.75" header="0.3" footer="0.3"/>
  <x:tableParts count="1">
    <x:tablePart xmlns:r="http://schemas.openxmlformats.org/officeDocument/2006/relationships" r:id="Rc43344d97c1e4d1e"/>
  </x:tableParts>
</x:worksheet>
</file>

<file path=xl/worksheets/sheet33.xml><?xml version="1.0" encoding="utf-8"?>
<x:worksheet xmlns:x="http://schemas.openxmlformats.org/spreadsheetml/2006/main">
  <x:sheetPr>
    <x:tabColor rgb="FFF4CCCC"/>
  </x:sheetPr>
  <x:sheetFormatPr defaultColWidth="12.630000114440918" defaultRowHeight="15.75"/>
  <x:sheetData>
    <x:row r="1">
      <x:c r="A1" s="1" t="s">
        <x:v>2217</x:v>
      </x:c>
      <x:c r="B1" s="1" t="s">
        <x:v>2181</x:v>
      </x:c>
      <x:c r="C1" s="1" t="s">
        <x:v>2218</x:v>
      </x:c>
      <x:c r="D1" s="1" t="s">
        <x:v>2219</x:v>
      </x:c>
      <x:c r="E1" s="1" t="s">
        <x:v>2220</x:v>
      </x:c>
      <x:c r="F1" s="1" t="s">
        <x:v>2221</x:v>
      </x:c>
      <x:c r="G1" s="1" t="s">
        <x:v>2222</x:v>
      </x:c>
      <x:c r="H1" s="1" t="s">
        <x:v>2223</x:v>
      </x:c>
      <x:c r="I1" s="1" t="s">
        <x:v>2224</x:v>
      </x:c>
      <x:c r="J1" s="1" t="s">
        <x:v>2225</x:v>
      </x:c>
      <x:c r="K1" s="1" t="s">
        <x:v>2226</x:v>
      </x:c>
      <x:c r="L1" s="1" t="s">
        <x:v>2227</x:v>
      </x:c>
      <x:c r="M1" s="1" t="s">
        <x:v>2228</x:v>
      </x:c>
      <x:c r="N1" s="1" t="s">
        <x:v>2229</x:v>
      </x:c>
      <x:c r="O1" s="1" t="s">
        <x:v>2230</x:v>
      </x:c>
      <x:c r="P1" s="1" t="s">
        <x:v>2231</x:v>
      </x:c>
      <x:c r="Q1" s="1" t="s">
        <x:v>2232</x:v>
      </x:c>
      <x:c r="R1" s="1" t="s">
        <x:v>2233</x:v>
      </x:c>
    </x:row>
    <x:row r="2">
      <x:c r="A2" s="1" t="s">
        <x:v>2234</x:v>
      </x:c>
      <x:c r="B2" s="1" t="s">
        <x:v>2235</x:v>
      </x:c>
      <x:c r="C2" s="1" t="s">
        <x:v>2236</x:v>
      </x:c>
      <x:c r="D2" s="1" t="s">
        <x:v>2237</x:v>
      </x:c>
      <x:c r="E2" s="1" t="s">
        <x:v>2238</x:v>
      </x:c>
      <x:c r="F2" s="1" t="s">
        <x:v>2239</x:v>
      </x:c>
      <x:c r="G2" s="1" t="s">
        <x:v>2240</x:v>
      </x:c>
      <x:c r="H2" s="1" t="s">
        <x:v>2241</x:v>
      </x:c>
      <x:c r="I2" s="1" t="s">
        <x:v>2242</x:v>
      </x:c>
      <x:c r="J2" s="1" t="s">
        <x:v>2241</x:v>
      </x:c>
      <x:c r="M2" s="1" t="s">
        <x:v>2243</x:v>
      </x:c>
      <x:c r="N2" s="1" t="s">
        <x:v>2244</x:v>
      </x:c>
      <x:c r="O2" s="1" t="s">
        <x:v>2241</x:v>
      </x:c>
      <x:c r="P2" s="1" t="s">
        <x:v>656</x:v>
      </x:c>
      <x:c r="Q2" s="1" t="s">
        <x:v>2245</x:v>
      </x:c>
    </x:row>
  </x:sheetData>
  <x:pageMargins left="0.7" right="0.7" top="0.75" bottom="0.75" header="0.3" footer="0.3"/>
</x:worksheet>
</file>

<file path=xl/worksheets/sheet34.xml><?xml version="1.0" encoding="utf-8"?>
<x:worksheet xmlns:x="http://schemas.openxmlformats.org/spreadsheetml/2006/main">
  <x:sheetFormatPr defaultColWidth="12.630000114440918" defaultRowHeight="15.75"/>
  <x:sheetData>
    <x:row r="1">
      <x:c r="A1" s="24" t="s">
        <x:v>2246</x:v>
      </x:c>
      <x:c r="B1" s="24" t="s">
        <x:v>2247</x:v>
      </x:c>
      <x:c r="C1" s="1" t="s">
        <x:v>2248</x:v>
      </x:c>
      <x:c r="D1" s="25" t="s">
        <x:v>1920</x:v>
      </x:c>
      <x:c r="E1" s="25" t="s">
        <x:v>1921</x:v>
      </x:c>
      <x:c r="F1" s="25" t="s">
        <x:v>1922</x:v>
      </x:c>
      <x:c r="G1" s="25" t="s">
        <x:v>1923</x:v>
      </x:c>
      <x:c r="H1" s="25" t="s">
        <x:v>1924</x:v>
      </x:c>
      <x:c r="I1" s="25" t="s">
        <x:v>1925</x:v>
      </x:c>
      <x:c r="J1" s="25" t="s">
        <x:v>1926</x:v>
      </x:c>
      <x:c r="K1" s="25"/>
      <x:c r="L1" s="25"/>
      <x:c r="M1" s="25"/>
      <x:c r="N1" s="25"/>
      <x:c r="O1" s="25"/>
      <x:c r="P1" s="25"/>
      <x:c r="Q1" s="25"/>
      <x:c r="R1" s="25"/>
      <x:c r="S1" s="25"/>
      <x:c r="T1" s="25"/>
      <x:c r="U1" s="25"/>
      <x:c r="V1" s="25"/>
      <x:c r="W1" s="25"/>
      <x:c r="X1" s="25"/>
      <x:c r="Y1" s="25"/>
      <x:c r="Z1" s="25"/>
      <x:c r="AA1" s="25"/>
      <x:c r="AB1" s="25"/>
    </x:row>
    <x:row r="2">
      <x:c r="A2" s="25"/>
      <x:c r="B2" s="25"/>
      <x:c r="C2" s="25"/>
      <x:c r="D2" s="26"/>
      <x:c r="E2" s="26"/>
      <x:c r="F2" s="25"/>
      <x:c r="G2" s="25"/>
      <x:c r="H2" s="25"/>
      <x:c r="I2" s="25"/>
      <x:c r="J2" s="25"/>
      <x:c r="K2" s="25"/>
      <x:c r="L2" s="25"/>
      <x:c r="M2" s="25"/>
      <x:c r="N2" s="25"/>
      <x:c r="O2" s="25"/>
      <x:c r="P2" s="25"/>
      <x:c r="Q2" s="25"/>
      <x:c r="R2" s="25"/>
      <x:c r="S2" s="25"/>
      <x:c r="T2" s="25"/>
      <x:c r="U2" s="25"/>
      <x:c r="V2" s="25"/>
      <x:c r="W2" s="25"/>
      <x:c r="X2" s="25"/>
      <x:c r="Y2" s="25"/>
      <x:c r="Z2" s="25"/>
      <x:c r="AA2" s="25"/>
      <x:c r="AB2" s="25"/>
    </x:row>
    <x:row r="3">
      <x:c r="A3" s="25"/>
      <x:c r="B3" s="25"/>
      <x:c r="C3" s="25"/>
      <x:c r="D3" s="26"/>
      <x:c r="E3" s="26"/>
      <x:c r="F3" s="25"/>
      <x:c r="G3" s="25"/>
      <x:c r="H3" s="25"/>
      <x:c r="I3" s="25"/>
      <x:c r="J3" s="25"/>
      <x:c r="K3" s="25"/>
      <x:c r="L3" s="25"/>
      <x:c r="M3" s="25"/>
      <x:c r="N3" s="25"/>
      <x:c r="O3" s="25"/>
      <x:c r="P3" s="25"/>
      <x:c r="Q3" s="25"/>
      <x:c r="R3" s="25"/>
      <x:c r="S3" s="25"/>
      <x:c r="T3" s="25"/>
      <x:c r="U3" s="25"/>
      <x:c r="V3" s="25"/>
      <x:c r="W3" s="25"/>
      <x:c r="X3" s="25"/>
      <x:c r="Y3" s="25"/>
      <x:c r="Z3" s="25"/>
      <x:c r="AA3" s="25"/>
      <x:c r="AB3" s="25"/>
    </x:row>
    <x:row r="4">
      <x:c r="A4" s="25"/>
      <x:c r="B4" s="25"/>
      <x:c r="C4" s="25"/>
      <x:c r="D4" s="26"/>
      <x:c r="E4" s="26"/>
      <x:c r="F4" s="25"/>
      <x:c r="G4" s="27"/>
      <x:c r="H4" s="25"/>
      <x:c r="I4" s="25"/>
      <x:c r="J4" s="25"/>
      <x:c r="K4" s="25"/>
      <x:c r="L4" s="25"/>
      <x:c r="M4" s="25"/>
      <x:c r="N4" s="25"/>
      <x:c r="O4" s="25"/>
      <x:c r="P4" s="25"/>
      <x:c r="Q4" s="25"/>
      <x:c r="R4" s="25"/>
      <x:c r="S4" s="25"/>
      <x:c r="T4" s="25"/>
      <x:c r="U4" s="25"/>
      <x:c r="V4" s="25"/>
      <x:c r="W4" s="25"/>
      <x:c r="X4" s="25"/>
      <x:c r="Y4" s="25"/>
      <x:c r="Z4" s="25"/>
      <x:c r="AA4" s="25"/>
      <x:c r="AB4" s="25"/>
    </x:row>
    <x:row r="5">
      <x:c r="A5" s="25"/>
      <x:c r="B5" s="25"/>
      <x:c r="C5" s="25"/>
      <x:c r="D5" s="26"/>
      <x:c r="E5" s="25"/>
      <x:c r="F5" s="25"/>
      <x:c r="G5" s="25"/>
      <x:c r="H5" s="25"/>
      <x:c r="I5" s="25"/>
      <x:c r="J5" s="25"/>
      <x:c r="K5" s="25"/>
      <x:c r="L5" s="25"/>
      <x:c r="M5" s="25"/>
      <x:c r="N5" s="25"/>
      <x:c r="O5" s="25"/>
      <x:c r="P5" s="25"/>
      <x:c r="Q5" s="25"/>
      <x:c r="R5" s="25"/>
      <x:c r="S5" s="25"/>
      <x:c r="T5" s="25"/>
      <x:c r="U5" s="25"/>
      <x:c r="V5" s="25"/>
      <x:c r="W5" s="25"/>
      <x:c r="X5" s="25"/>
      <x:c r="Y5" s="25"/>
      <x:c r="Z5" s="25"/>
      <x:c r="AA5" s="25"/>
      <x:c r="AB5" s="25"/>
    </x:row>
    <x:row r="6">
      <x:c r="A6" s="25"/>
      <x:c r="B6" s="25"/>
      <x:c r="C6" s="25"/>
      <x:c r="D6" s="26"/>
      <x:c r="E6" s="26"/>
      <x:c r="F6" s="25"/>
      <x:c r="G6" s="25"/>
      <x:c r="H6" s="25"/>
      <x:c r="I6" s="25"/>
      <x:c r="J6" s="25"/>
      <x:c r="K6" s="25"/>
      <x:c r="L6" s="25"/>
      <x:c r="M6" s="25"/>
      <x:c r="N6" s="25"/>
      <x:c r="O6" s="25"/>
      <x:c r="P6" s="25"/>
      <x:c r="Q6" s="25"/>
      <x:c r="R6" s="25"/>
      <x:c r="S6" s="25"/>
      <x:c r="T6" s="25"/>
      <x:c r="U6" s="25"/>
      <x:c r="V6" s="25"/>
      <x:c r="W6" s="25"/>
      <x:c r="X6" s="25"/>
      <x:c r="Y6" s="25"/>
      <x:c r="Z6" s="25"/>
      <x:c r="AA6" s="25"/>
      <x:c r="AB6" s="25"/>
    </x:row>
    <x:row r="7">
      <x:c r="A7" s="25"/>
      <x:c r="B7" s="25"/>
      <x:c r="C7" s="25"/>
      <x:c r="D7" s="26"/>
      <x:c r="E7" s="26"/>
      <x:c r="F7" s="25"/>
      <x:c r="G7" s="27"/>
      <x:c r="H7" s="25"/>
      <x:c r="I7" s="25"/>
      <x:c r="J7" s="25"/>
      <x:c r="K7" s="25"/>
      <x:c r="L7" s="25"/>
      <x:c r="M7" s="25"/>
      <x:c r="N7" s="25"/>
      <x:c r="O7" s="25"/>
      <x:c r="P7" s="25"/>
      <x:c r="Q7" s="25"/>
      <x:c r="R7" s="25"/>
      <x:c r="S7" s="25"/>
      <x:c r="T7" s="25"/>
      <x:c r="U7" s="25"/>
      <x:c r="V7" s="25"/>
      <x:c r="W7" s="25"/>
      <x:c r="X7" s="25"/>
      <x:c r="Y7" s="25"/>
      <x:c r="Z7" s="25"/>
      <x:c r="AA7" s="25"/>
      <x:c r="AB7" s="25"/>
    </x:row>
    <x:row r="8">
      <x:c r="A8" s="25"/>
      <x:c r="B8" s="25"/>
      <x:c r="C8" s="25"/>
      <x:c r="D8" s="26"/>
      <x:c r="E8" s="26"/>
      <x:c r="F8" s="25"/>
      <x:c r="G8" s="25"/>
      <x:c r="H8" s="25"/>
      <x:c r="I8" s="25"/>
      <x:c r="J8" s="25"/>
      <x:c r="K8" s="25"/>
      <x:c r="L8" s="25"/>
      <x:c r="M8" s="25"/>
      <x:c r="N8" s="25"/>
      <x:c r="O8" s="25"/>
      <x:c r="P8" s="25"/>
      <x:c r="Q8" s="25"/>
      <x:c r="R8" s="25"/>
      <x:c r="S8" s="25"/>
      <x:c r="T8" s="25"/>
      <x:c r="U8" s="25"/>
      <x:c r="V8" s="25"/>
      <x:c r="W8" s="25"/>
      <x:c r="X8" s="25"/>
      <x:c r="Y8" s="25"/>
      <x:c r="Z8" s="25"/>
      <x:c r="AA8" s="25"/>
      <x:c r="AB8" s="25"/>
    </x:row>
    <x:row r="9">
      <x:c r="A9" s="25"/>
      <x:c r="B9" s="25"/>
      <x:c r="C9" s="25"/>
      <x:c r="D9" s="26"/>
      <x:c r="E9" s="26"/>
      <x:c r="F9" s="25"/>
      <x:c r="G9" s="27"/>
      <x:c r="H9" s="25"/>
      <x:c r="I9" s="25"/>
      <x:c r="J9" s="25"/>
      <x:c r="K9" s="25"/>
      <x:c r="L9" s="25"/>
      <x:c r="M9" s="25"/>
      <x:c r="N9" s="25"/>
      <x:c r="O9" s="25"/>
      <x:c r="P9" s="25"/>
      <x:c r="Q9" s="25"/>
      <x:c r="R9" s="25"/>
      <x:c r="S9" s="25"/>
      <x:c r="T9" s="25"/>
      <x:c r="U9" s="25"/>
      <x:c r="V9" s="25"/>
      <x:c r="W9" s="25"/>
      <x:c r="X9" s="25"/>
      <x:c r="Y9" s="25"/>
      <x:c r="Z9" s="25"/>
      <x:c r="AA9" s="25"/>
      <x:c r="AB9" s="25"/>
    </x:row>
    <x:row r="10">
      <x:c r="A10" s="25"/>
      <x:c r="B10" s="25"/>
      <x:c r="C10" s="25"/>
      <x:c r="D10" s="26"/>
      <x:c r="E10" s="26"/>
      <x:c r="F10" s="25"/>
      <x:c r="G10" s="27"/>
      <x:c r="H10" s="25"/>
      <x:c r="I10" s="25"/>
      <x:c r="J10" s="25"/>
      <x:c r="K10" s="25"/>
      <x:c r="L10" s="25"/>
      <x:c r="M10" s="25"/>
      <x:c r="N10" s="25"/>
      <x:c r="O10" s="25"/>
      <x:c r="P10" s="25"/>
      <x:c r="Q10" s="25"/>
      <x:c r="R10" s="25"/>
      <x:c r="S10" s="25"/>
      <x:c r="T10" s="25"/>
      <x:c r="U10" s="25"/>
      <x:c r="V10" s="25"/>
      <x:c r="W10" s="25"/>
      <x:c r="X10" s="25"/>
      <x:c r="Y10" s="25"/>
      <x:c r="Z10" s="25"/>
      <x:c r="AA10" s="25"/>
      <x:c r="AB10" s="25"/>
    </x:row>
    <x:row r="11">
      <x:c r="A11" s="25"/>
      <x:c r="B11" s="25"/>
      <x:c r="C11" s="25"/>
      <x:c r="D11" s="26"/>
      <x:c r="E11" s="26"/>
      <x:c r="F11" s="25"/>
      <x:c r="G11" s="27"/>
      <x:c r="H11" s="25"/>
      <x:c r="I11" s="25"/>
      <x:c r="J11" s="25"/>
      <x:c r="K11" s="25"/>
      <x:c r="L11" s="25"/>
      <x:c r="M11" s="25"/>
      <x:c r="N11" s="25"/>
      <x:c r="O11" s="25"/>
      <x:c r="P11" s="25"/>
      <x:c r="Q11" s="25"/>
      <x:c r="R11" s="25"/>
      <x:c r="S11" s="25"/>
      <x:c r="T11" s="25"/>
      <x:c r="U11" s="25"/>
      <x:c r="V11" s="25"/>
      <x:c r="W11" s="25"/>
      <x:c r="X11" s="25"/>
      <x:c r="Y11" s="25"/>
      <x:c r="Z11" s="25"/>
      <x:c r="AA11" s="25"/>
      <x:c r="AB11" s="25"/>
    </x:row>
    <x:row r="12">
      <x:c r="A12" s="25"/>
      <x:c r="B12" s="25"/>
      <x:c r="C12" s="25"/>
      <x:c r="D12" s="26"/>
      <x:c r="E12" s="26"/>
      <x:c r="F12" s="25"/>
      <x:c r="G12" s="25"/>
      <x:c r="H12" s="25"/>
      <x:c r="I12" s="25"/>
      <x:c r="J12" s="25"/>
      <x:c r="K12" s="25"/>
      <x:c r="L12" s="25"/>
      <x:c r="M12" s="25"/>
      <x:c r="N12" s="25"/>
      <x:c r="O12" s="25"/>
      <x:c r="P12" s="25"/>
      <x:c r="Q12" s="25"/>
      <x:c r="R12" s="25"/>
      <x:c r="S12" s="25"/>
      <x:c r="T12" s="25"/>
      <x:c r="U12" s="25"/>
      <x:c r="V12" s="25"/>
      <x:c r="W12" s="25"/>
      <x:c r="X12" s="25"/>
      <x:c r="Y12" s="25"/>
      <x:c r="Z12" s="25"/>
      <x:c r="AA12" s="25"/>
      <x:c r="AB12" s="25"/>
    </x:row>
    <x:row r="13">
      <x:c r="A13" s="25"/>
      <x:c r="B13" s="25"/>
      <x:c r="C13" s="25"/>
      <x:c r="D13" s="26"/>
      <x:c r="E13" s="26"/>
      <x:c r="F13" s="25"/>
      <x:c r="G13" s="27"/>
      <x:c r="H13" s="25"/>
      <x:c r="I13" s="25"/>
      <x:c r="J13" s="25"/>
      <x:c r="K13" s="25"/>
      <x:c r="L13" s="25"/>
      <x:c r="M13" s="25"/>
      <x:c r="N13" s="25"/>
      <x:c r="O13" s="25"/>
      <x:c r="P13" s="25"/>
      <x:c r="Q13" s="25"/>
      <x:c r="R13" s="25"/>
      <x:c r="S13" s="25"/>
      <x:c r="T13" s="25"/>
      <x:c r="U13" s="25"/>
      <x:c r="V13" s="25"/>
      <x:c r="W13" s="25"/>
      <x:c r="X13" s="25"/>
      <x:c r="Y13" s="25"/>
      <x:c r="Z13" s="25"/>
      <x:c r="AA13" s="25"/>
      <x:c r="AB13" s="25"/>
    </x:row>
    <x:row r="14">
      <x:c r="A14" s="8"/>
      <x:c r="B14" s="8"/>
      <x:c r="C14" s="8"/>
      <x:c r="D14" s="18"/>
      <x:c r="E14" s="18"/>
      <x:c r="F14" s="8"/>
      <x:c r="G14" s="8"/>
      <x:c r="H14" s="8"/>
      <x:c r="I14" s="8"/>
      <x:c r="J14" s="8"/>
      <x:c r="K14" s="25"/>
      <x:c r="L14" s="25"/>
      <x:c r="M14" s="25"/>
      <x:c r="N14" s="25"/>
      <x:c r="O14" s="25"/>
      <x:c r="P14" s="25"/>
      <x:c r="Q14" s="25"/>
      <x:c r="R14" s="25"/>
      <x:c r="S14" s="25"/>
      <x:c r="T14" s="25"/>
      <x:c r="U14" s="25"/>
      <x:c r="V14" s="25"/>
      <x:c r="W14" s="25"/>
      <x:c r="X14" s="25"/>
      <x:c r="Y14" s="25"/>
      <x:c r="Z14" s="25"/>
      <x:c r="AA14" s="25"/>
      <x:c r="AB14" s="25"/>
    </x:row>
    <x:row r="15">
      <x:c r="A15" s="8"/>
      <x:c r="B15" s="8"/>
      <x:c r="C15" s="8"/>
      <x:c r="D15" s="18"/>
      <x:c r="E15" s="18"/>
      <x:c r="F15" s="8"/>
      <x:c r="G15" s="8"/>
      <x:c r="H15" s="8"/>
      <x:c r="I15" s="8"/>
      <x:c r="J15" s="8"/>
      <x:c r="K15" s="25"/>
      <x:c r="L15" s="25"/>
      <x:c r="M15" s="25"/>
      <x:c r="N15" s="25"/>
      <x:c r="O15" s="25"/>
      <x:c r="P15" s="25"/>
      <x:c r="Q15" s="25"/>
      <x:c r="R15" s="25"/>
      <x:c r="S15" s="25"/>
      <x:c r="T15" s="25"/>
      <x:c r="U15" s="25"/>
      <x:c r="V15" s="25"/>
      <x:c r="W15" s="25"/>
      <x:c r="X15" s="25"/>
      <x:c r="Y15" s="25"/>
      <x:c r="Z15" s="25"/>
      <x:c r="AA15" s="25"/>
      <x:c r="AB15" s="25"/>
    </x:row>
    <x:row r="16">
      <x:c r="A16" s="8"/>
      <x:c r="B16" s="8"/>
      <x:c r="C16" s="8"/>
      <x:c r="D16" s="18"/>
      <x:c r="E16" s="18"/>
      <x:c r="F16" s="8"/>
      <x:c r="G16" s="8"/>
      <x:c r="H16" s="8"/>
      <x:c r="I16" s="8"/>
      <x:c r="J16" s="8"/>
      <x:c r="K16" s="25"/>
      <x:c r="L16" s="25"/>
      <x:c r="M16" s="25"/>
      <x:c r="N16" s="25"/>
      <x:c r="O16" s="25"/>
      <x:c r="P16" s="25"/>
      <x:c r="Q16" s="25"/>
      <x:c r="R16" s="25"/>
      <x:c r="S16" s="25"/>
      <x:c r="T16" s="25"/>
      <x:c r="U16" s="25"/>
      <x:c r="V16" s="25"/>
      <x:c r="W16" s="25"/>
      <x:c r="X16" s="25"/>
      <x:c r="Y16" s="25"/>
      <x:c r="Z16" s="25"/>
      <x:c r="AA16" s="25"/>
      <x:c r="AB16" s="25"/>
    </x:row>
    <x:row r="17">
      <x:c r="A17" s="8"/>
      <x:c r="B17" s="8"/>
      <x:c r="C17" s="8"/>
      <x:c r="D17" s="18"/>
      <x:c r="E17" s="18"/>
      <x:c r="F17" s="8"/>
      <x:c r="G17" s="8"/>
      <x:c r="H17" s="8"/>
      <x:c r="I17" s="8"/>
      <x:c r="J17" s="8"/>
      <x:c r="K17" s="25"/>
      <x:c r="L17" s="25"/>
      <x:c r="M17" s="25"/>
      <x:c r="N17" s="25"/>
      <x:c r="O17" s="25"/>
      <x:c r="P17" s="25"/>
      <x:c r="Q17" s="25"/>
      <x:c r="R17" s="25"/>
      <x:c r="S17" s="25"/>
      <x:c r="T17" s="25"/>
      <x:c r="U17" s="25"/>
      <x:c r="V17" s="25"/>
      <x:c r="W17" s="25"/>
      <x:c r="X17" s="25"/>
      <x:c r="Y17" s="25"/>
      <x:c r="Z17" s="25"/>
      <x:c r="AA17" s="25"/>
      <x:c r="AB17" s="25"/>
    </x:row>
    <x:row r="18">
      <x:c r="A18" s="8"/>
      <x:c r="B18" s="8"/>
      <x:c r="C18" s="8"/>
      <x:c r="D18" s="18"/>
      <x:c r="E18" s="28"/>
      <x:c r="F18" s="8"/>
      <x:c r="G18" s="8"/>
      <x:c r="H18" s="8"/>
      <x:c r="I18" s="8"/>
      <x:c r="J18" s="8"/>
      <x:c r="K18" s="25"/>
      <x:c r="L18" s="25"/>
      <x:c r="M18" s="25"/>
      <x:c r="N18" s="25"/>
      <x:c r="O18" s="25"/>
      <x:c r="P18" s="25"/>
      <x:c r="Q18" s="25"/>
      <x:c r="R18" s="25"/>
      <x:c r="S18" s="25"/>
      <x:c r="T18" s="25"/>
      <x:c r="U18" s="25"/>
      <x:c r="V18" s="25"/>
      <x:c r="W18" s="25"/>
      <x:c r="X18" s="25"/>
      <x:c r="Y18" s="25"/>
      <x:c r="Z18" s="25"/>
      <x:c r="AA18" s="25"/>
      <x:c r="AB18" s="25"/>
    </x:row>
    <x:row r="19">
      <x:c r="A19" s="8"/>
      <x:c r="B19" s="8"/>
      <x:c r="C19" s="8"/>
      <x:c r="D19" s="18"/>
      <x:c r="E19" s="28"/>
      <x:c r="F19" s="8"/>
      <x:c r="G19" s="8"/>
      <x:c r="H19" s="8"/>
      <x:c r="I19" s="8"/>
      <x:c r="J19" s="8"/>
      <x:c r="K19" s="25"/>
      <x:c r="L19" s="25"/>
      <x:c r="M19" s="25"/>
      <x:c r="N19" s="25"/>
      <x:c r="O19" s="25"/>
      <x:c r="P19" s="25"/>
      <x:c r="Q19" s="25"/>
      <x:c r="R19" s="25"/>
      <x:c r="S19" s="25"/>
      <x:c r="T19" s="25"/>
      <x:c r="U19" s="25"/>
      <x:c r="V19" s="25"/>
      <x:c r="W19" s="25"/>
      <x:c r="X19" s="25"/>
      <x:c r="Y19" s="25"/>
      <x:c r="Z19" s="25"/>
      <x:c r="AA19" s="25"/>
      <x:c r="AB19" s="25"/>
    </x:row>
    <x:row r="20">
      <x:c r="A20" s="3"/>
      <x:c r="B20" s="3"/>
      <x:c r="C20" s="3"/>
      <x:c r="D20" s="19"/>
      <x:c r="E20" s="3"/>
      <x:c r="F20" s="3"/>
      <x:c r="G20" s="3"/>
      <x:c r="H20" s="3"/>
      <x:c r="I20" s="3"/>
      <x:c r="J20" s="3"/>
      <x:c r="K20" s="25"/>
      <x:c r="L20" s="25"/>
      <x:c r="M20" s="25"/>
      <x:c r="N20" s="25"/>
      <x:c r="O20" s="25"/>
      <x:c r="P20" s="25"/>
      <x:c r="Q20" s="25"/>
      <x:c r="R20" s="25"/>
      <x:c r="S20" s="25"/>
      <x:c r="T20" s="25"/>
      <x:c r="U20" s="25"/>
      <x:c r="V20" s="25"/>
      <x:c r="W20" s="25"/>
      <x:c r="X20" s="25"/>
      <x:c r="Y20" s="25"/>
      <x:c r="Z20" s="25"/>
      <x:c r="AA20" s="25"/>
      <x:c r="AB20" s="25"/>
    </x:row>
    <x:row r="21">
      <x:c r="A21" s="4"/>
      <x:c r="B21" s="4"/>
      <x:c r="C21" s="4"/>
      <x:c r="D21" s="20"/>
      <x:c r="E21" s="4"/>
      <x:c r="F21" s="4"/>
      <x:c r="G21" s="4"/>
      <x:c r="H21" s="4"/>
      <x:c r="I21" s="4"/>
      <x:c r="J21" s="4"/>
      <x:c r="K21" s="25"/>
      <x:c r="L21" s="25"/>
      <x:c r="M21" s="25"/>
      <x:c r="N21" s="25"/>
      <x:c r="O21" s="25"/>
      <x:c r="P21" s="25"/>
      <x:c r="Q21" s="25"/>
      <x:c r="R21" s="25"/>
      <x:c r="S21" s="25"/>
      <x:c r="T21" s="25"/>
      <x:c r="U21" s="25"/>
      <x:c r="V21" s="25"/>
      <x:c r="W21" s="25"/>
      <x:c r="X21" s="25"/>
      <x:c r="Y21" s="25"/>
      <x:c r="Z21" s="25"/>
      <x:c r="AA21" s="25"/>
      <x:c r="AB21" s="25"/>
    </x:row>
    <x:row r="22">
      <x:c r="A22" s="3"/>
      <x:c r="B22" s="3"/>
      <x:c r="C22" s="3"/>
      <x:c r="D22" s="19"/>
      <x:c r="E22" s="3"/>
      <x:c r="F22" s="3"/>
      <x:c r="G22" s="3"/>
      <x:c r="H22" s="3"/>
      <x:c r="I22" s="3"/>
      <x:c r="J22" s="3"/>
      <x:c r="K22" s="25"/>
      <x:c r="L22" s="25"/>
      <x:c r="M22" s="25"/>
      <x:c r="N22" s="25"/>
      <x:c r="O22" s="25"/>
      <x:c r="P22" s="25"/>
      <x:c r="Q22" s="25"/>
      <x:c r="R22" s="25"/>
      <x:c r="S22" s="25"/>
      <x:c r="T22" s="25"/>
      <x:c r="U22" s="25"/>
      <x:c r="V22" s="25"/>
      <x:c r="W22" s="25"/>
      <x:c r="X22" s="25"/>
      <x:c r="Y22" s="25"/>
      <x:c r="Z22" s="25"/>
      <x:c r="AA22" s="25"/>
      <x:c r="AB22" s="25"/>
    </x:row>
    <x:row r="23">
      <x:c r="A23" s="4"/>
      <x:c r="B23" s="4"/>
      <x:c r="C23" s="4"/>
      <x:c r="D23" s="20"/>
      <x:c r="E23" s="4"/>
      <x:c r="F23" s="4"/>
      <x:c r="G23" s="4"/>
      <x:c r="H23" s="4"/>
      <x:c r="I23" s="4"/>
      <x:c r="J23" s="4"/>
      <x:c r="K23" s="25"/>
      <x:c r="L23" s="25"/>
      <x:c r="M23" s="25"/>
      <x:c r="N23" s="25"/>
      <x:c r="O23" s="25"/>
      <x:c r="P23" s="25"/>
      <x:c r="Q23" s="25"/>
      <x:c r="R23" s="25"/>
      <x:c r="S23" s="25"/>
      <x:c r="T23" s="25"/>
      <x:c r="U23" s="25"/>
      <x:c r="V23" s="25"/>
      <x:c r="W23" s="25"/>
      <x:c r="X23" s="25"/>
      <x:c r="Y23" s="25"/>
      <x:c r="Z23" s="25"/>
      <x:c r="AA23" s="25"/>
      <x:c r="AB23" s="25"/>
    </x:row>
    <x:row r="24">
      <x:c r="A24" s="3"/>
      <x:c r="B24" s="3"/>
      <x:c r="C24" s="3"/>
      <x:c r="D24" s="19"/>
      <x:c r="E24" s="3"/>
      <x:c r="F24" s="3"/>
      <x:c r="G24" s="3"/>
      <x:c r="H24" s="3"/>
      <x:c r="I24" s="3"/>
      <x:c r="J24" s="3"/>
      <x:c r="K24" s="25"/>
      <x:c r="L24" s="25"/>
      <x:c r="M24" s="25"/>
      <x:c r="N24" s="25"/>
      <x:c r="O24" s="25"/>
      <x:c r="P24" s="25"/>
      <x:c r="Q24" s="25"/>
      <x:c r="R24" s="25"/>
      <x:c r="S24" s="25"/>
      <x:c r="T24" s="25"/>
      <x:c r="U24" s="25"/>
      <x:c r="V24" s="25"/>
      <x:c r="W24" s="25"/>
      <x:c r="X24" s="25"/>
      <x:c r="Y24" s="25"/>
      <x:c r="Z24" s="25"/>
      <x:c r="AA24" s="25"/>
      <x:c r="AB24" s="25"/>
    </x:row>
    <x:row r="25">
      <x:c r="A25" s="4"/>
      <x:c r="B25" s="4"/>
      <x:c r="C25" s="4"/>
      <x:c r="D25" s="20"/>
      <x:c r="E25" s="4"/>
      <x:c r="F25" s="4"/>
      <x:c r="G25" s="4"/>
      <x:c r="H25" s="4"/>
      <x:c r="I25" s="4"/>
      <x:c r="J25" s="4"/>
      <x:c r="K25" s="25"/>
      <x:c r="L25" s="25"/>
      <x:c r="M25" s="25"/>
      <x:c r="N25" s="25"/>
      <x:c r="O25" s="25"/>
      <x:c r="P25" s="25"/>
      <x:c r="Q25" s="25"/>
      <x:c r="R25" s="25"/>
      <x:c r="S25" s="25"/>
      <x:c r="T25" s="25"/>
      <x:c r="U25" s="25"/>
      <x:c r="V25" s="25"/>
      <x:c r="W25" s="25"/>
      <x:c r="X25" s="25"/>
      <x:c r="Y25" s="25"/>
      <x:c r="Z25" s="25"/>
      <x:c r="AA25" s="25"/>
      <x:c r="AB25" s="25"/>
    </x:row>
    <x:row r="26">
      <x:c r="A26" s="3"/>
      <x:c r="B26" s="3"/>
      <x:c r="C26" s="3"/>
      <x:c r="D26" s="19"/>
      <x:c r="E26" s="3"/>
      <x:c r="F26" s="3"/>
      <x:c r="G26" s="3"/>
      <x:c r="H26" s="3"/>
      <x:c r="I26" s="3"/>
      <x:c r="J26" s="3"/>
      <x:c r="K26" s="25"/>
      <x:c r="L26" s="25"/>
      <x:c r="M26" s="25"/>
      <x:c r="N26" s="25"/>
      <x:c r="O26" s="25"/>
      <x:c r="P26" s="25"/>
      <x:c r="Q26" s="25"/>
      <x:c r="R26" s="25"/>
      <x:c r="S26" s="25"/>
      <x:c r="T26" s="25"/>
      <x:c r="U26" s="25"/>
      <x:c r="V26" s="25"/>
      <x:c r="W26" s="25"/>
      <x:c r="X26" s="25"/>
      <x:c r="Y26" s="25"/>
      <x:c r="Z26" s="25"/>
      <x:c r="AA26" s="25"/>
      <x:c r="AB26" s="25"/>
    </x:row>
    <x:row r="27">
      <x:c r="A27" s="4"/>
      <x:c r="B27" s="4"/>
      <x:c r="C27" s="4"/>
      <x:c r="D27" s="20"/>
      <x:c r="E27" s="4"/>
      <x:c r="F27" s="4"/>
      <x:c r="G27" s="4"/>
      <x:c r="H27" s="4"/>
      <x:c r="I27" s="4"/>
      <x:c r="J27" s="4"/>
      <x:c r="K27" s="25"/>
      <x:c r="L27" s="25"/>
      <x:c r="M27" s="25"/>
      <x:c r="N27" s="25"/>
      <x:c r="O27" s="25"/>
      <x:c r="P27" s="25"/>
      <x:c r="Q27" s="25"/>
      <x:c r="R27" s="25"/>
      <x:c r="S27" s="25"/>
      <x:c r="T27" s="25"/>
      <x:c r="U27" s="25"/>
      <x:c r="V27" s="25"/>
      <x:c r="W27" s="25"/>
      <x:c r="X27" s="25"/>
      <x:c r="Y27" s="25"/>
      <x:c r="Z27" s="25"/>
      <x:c r="AA27" s="25"/>
      <x:c r="AB27" s="25"/>
    </x:row>
    <x:row r="28">
      <x:c r="A28" s="3"/>
      <x:c r="B28" s="3"/>
      <x:c r="C28" s="3"/>
      <x:c r="D28" s="19"/>
      <x:c r="E28" s="3"/>
      <x:c r="F28" s="3"/>
      <x:c r="G28" s="3"/>
      <x:c r="H28" s="3"/>
      <x:c r="I28" s="3"/>
      <x:c r="J28" s="3"/>
      <x:c r="K28" s="25"/>
      <x:c r="L28" s="25"/>
      <x:c r="M28" s="25"/>
      <x:c r="N28" s="25"/>
      <x:c r="O28" s="25"/>
      <x:c r="P28" s="25"/>
      <x:c r="Q28" s="25"/>
      <x:c r="R28" s="25"/>
      <x:c r="S28" s="25"/>
      <x:c r="T28" s="25"/>
      <x:c r="U28" s="25"/>
      <x:c r="V28" s="25"/>
      <x:c r="W28" s="25"/>
      <x:c r="X28" s="25"/>
      <x:c r="Y28" s="25"/>
      <x:c r="Z28" s="25"/>
      <x:c r="AA28" s="25"/>
      <x:c r="AB28" s="25"/>
    </x:row>
    <x:row r="29">
      <x:c r="A29" s="4"/>
      <x:c r="B29" s="4"/>
      <x:c r="C29" s="4"/>
      <x:c r="D29" s="20"/>
      <x:c r="E29" s="4"/>
      <x:c r="F29" s="4"/>
      <x:c r="G29" s="4"/>
      <x:c r="H29" s="4"/>
      <x:c r="I29" s="4"/>
      <x:c r="J29" s="4"/>
      <x:c r="K29" s="25"/>
      <x:c r="L29" s="25"/>
      <x:c r="M29" s="25"/>
      <x:c r="N29" s="25"/>
      <x:c r="O29" s="25"/>
      <x:c r="P29" s="25"/>
      <x:c r="Q29" s="25"/>
      <x:c r="R29" s="25"/>
      <x:c r="S29" s="25"/>
      <x:c r="T29" s="25"/>
      <x:c r="U29" s="25"/>
      <x:c r="V29" s="25"/>
      <x:c r="W29" s="25"/>
      <x:c r="X29" s="25"/>
      <x:c r="Y29" s="25"/>
      <x:c r="Z29" s="25"/>
      <x:c r="AA29" s="25"/>
      <x:c r="AB29" s="25"/>
    </x:row>
    <x:row r="30">
      <x:c r="A30" s="29"/>
      <x:c r="B30" s="29"/>
      <x:c r="C30" s="29"/>
      <x:c r="D30" s="30"/>
      <x:c r="E30" s="30"/>
      <x:c r="F30" s="29"/>
      <x:c r="G30" s="29"/>
      <x:c r="H30" s="31"/>
      <x:c r="I30" s="31"/>
      <x:c r="J30" s="31"/>
      <x:c r="K30" s="25"/>
      <x:c r="L30" s="25"/>
      <x:c r="M30" s="25"/>
      <x:c r="N30" s="25"/>
      <x:c r="O30" s="25"/>
      <x:c r="P30" s="25"/>
      <x:c r="Q30" s="25"/>
      <x:c r="R30" s="25"/>
      <x:c r="S30" s="25"/>
      <x:c r="T30" s="25"/>
      <x:c r="U30" s="25"/>
      <x:c r="V30" s="25"/>
      <x:c r="W30" s="25"/>
      <x:c r="X30" s="25"/>
      <x:c r="Y30" s="25"/>
      <x:c r="Z30" s="25"/>
      <x:c r="AA30" s="25"/>
      <x:c r="AB30" s="25"/>
    </x:row>
    <x:row r="31">
      <x:c r="A31" s="32"/>
      <x:c r="B31" s="32"/>
      <x:c r="C31" s="32"/>
      <x:c r="D31" s="33"/>
      <x:c r="E31" s="33"/>
      <x:c r="F31" s="32"/>
      <x:c r="G31" s="32"/>
      <x:c r="H31" s="34"/>
      <x:c r="I31" s="34"/>
      <x:c r="J31" s="34"/>
      <x:c r="K31" s="25"/>
      <x:c r="L31" s="25"/>
      <x:c r="M31" s="25"/>
      <x:c r="N31" s="25"/>
      <x:c r="O31" s="25"/>
      <x:c r="P31" s="25"/>
      <x:c r="Q31" s="25"/>
      <x:c r="R31" s="25"/>
      <x:c r="S31" s="25"/>
      <x:c r="T31" s="25"/>
      <x:c r="U31" s="25"/>
      <x:c r="V31" s="25"/>
      <x:c r="W31" s="25"/>
      <x:c r="X31" s="25"/>
      <x:c r="Y31" s="25"/>
      <x:c r="Z31" s="25"/>
      <x:c r="AA31" s="25"/>
      <x:c r="AB31" s="25"/>
    </x:row>
    <x:row r="32">
      <x:c r="A32" s="29"/>
      <x:c r="B32" s="29"/>
      <x:c r="C32" s="29"/>
      <x:c r="D32" s="30"/>
      <x:c r="E32" s="30"/>
      <x:c r="F32" s="29"/>
      <x:c r="G32" s="29"/>
      <x:c r="H32" s="31"/>
      <x:c r="I32" s="31"/>
      <x:c r="J32" s="31"/>
      <x:c r="K32" s="25"/>
      <x:c r="L32" s="25"/>
      <x:c r="M32" s="25"/>
      <x:c r="N32" s="25"/>
      <x:c r="O32" s="25"/>
      <x:c r="P32" s="25"/>
      <x:c r="Q32" s="25"/>
      <x:c r="R32" s="25"/>
      <x:c r="S32" s="25"/>
      <x:c r="T32" s="25"/>
      <x:c r="U32" s="25"/>
      <x:c r="V32" s="25"/>
      <x:c r="W32" s="25"/>
      <x:c r="X32" s="25"/>
      <x:c r="Y32" s="25"/>
      <x:c r="Z32" s="25"/>
      <x:c r="AA32" s="25"/>
      <x:c r="AB32" s="25"/>
    </x:row>
    <x:row r="33">
      <x:c r="A33" s="32"/>
      <x:c r="B33" s="32"/>
      <x:c r="C33" s="32"/>
      <x:c r="D33" s="33"/>
      <x:c r="E33" s="33"/>
      <x:c r="F33" s="32"/>
      <x:c r="G33" s="32"/>
      <x:c r="H33" s="34"/>
      <x:c r="I33" s="34"/>
      <x:c r="J33" s="34"/>
      <x:c r="K33" s="25"/>
      <x:c r="L33" s="25"/>
      <x:c r="M33" s="25"/>
      <x:c r="N33" s="25"/>
      <x:c r="O33" s="25"/>
      <x:c r="P33" s="25"/>
      <x:c r="Q33" s="25"/>
      <x:c r="R33" s="25"/>
      <x:c r="S33" s="25"/>
      <x:c r="T33" s="25"/>
      <x:c r="U33" s="25"/>
      <x:c r="V33" s="25"/>
      <x:c r="W33" s="25"/>
      <x:c r="X33" s="25"/>
      <x:c r="Y33" s="25"/>
      <x:c r="Z33" s="25"/>
      <x:c r="AA33" s="25"/>
      <x:c r="AB33" s="25"/>
    </x:row>
    <x:row r="34">
      <x:c r="A34" s="29"/>
      <x:c r="B34" s="29"/>
      <x:c r="C34" s="29"/>
      <x:c r="D34" s="30"/>
      <x:c r="E34" s="30"/>
      <x:c r="F34" s="29"/>
      <x:c r="G34" s="29"/>
      <x:c r="H34" s="31"/>
      <x:c r="I34" s="31"/>
      <x:c r="J34" s="31"/>
      <x:c r="K34" s="25"/>
      <x:c r="L34" s="25"/>
      <x:c r="M34" s="25"/>
      <x:c r="N34" s="25"/>
      <x:c r="O34" s="25"/>
      <x:c r="P34" s="25"/>
      <x:c r="Q34" s="25"/>
      <x:c r="R34" s="25"/>
      <x:c r="S34" s="25"/>
      <x:c r="T34" s="25"/>
      <x:c r="U34" s="25"/>
      <x:c r="V34" s="25"/>
      <x:c r="W34" s="25"/>
      <x:c r="X34" s="25"/>
      <x:c r="Y34" s="25"/>
      <x:c r="Z34" s="25"/>
      <x:c r="AA34" s="25"/>
      <x:c r="AB34" s="25"/>
    </x:row>
    <x:row r="35">
      <x:c r="A35" s="32"/>
      <x:c r="B35" s="32"/>
      <x:c r="C35" s="32"/>
      <x:c r="D35" s="33"/>
      <x:c r="E35" s="33"/>
      <x:c r="F35" s="32"/>
      <x:c r="G35" s="32"/>
      <x:c r="H35" s="34"/>
      <x:c r="I35" s="34"/>
      <x:c r="J35" s="34"/>
      <x:c r="K35" s="25"/>
      <x:c r="L35" s="25"/>
      <x:c r="M35" s="25"/>
      <x:c r="N35" s="25"/>
      <x:c r="O35" s="25"/>
      <x:c r="P35" s="25"/>
      <x:c r="Q35" s="25"/>
      <x:c r="R35" s="25"/>
      <x:c r="S35" s="25"/>
      <x:c r="T35" s="25"/>
      <x:c r="U35" s="25"/>
      <x:c r="V35" s="25"/>
      <x:c r="W35" s="25"/>
      <x:c r="X35" s="25"/>
      <x:c r="Y35" s="25"/>
      <x:c r="Z35" s="25"/>
      <x:c r="AA35" s="25"/>
      <x:c r="AB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c r="AA36" s="25"/>
      <x:c r="AB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c r="AA37" s="25"/>
      <x:c r="AB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c r="AA38" s="25"/>
      <x:c r="AB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c r="AA39" s="25"/>
      <x:c r="AB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c r="AA40" s="25"/>
      <x:c r="AB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c r="AA41" s="25"/>
      <x:c r="AB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c r="AA42" s="25"/>
      <x:c r="AB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c r="AA43" s="25"/>
      <x:c r="AB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c r="AA44" s="25"/>
      <x:c r="AB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c r="AA45" s="25"/>
      <x:c r="AB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c r="AA46" s="25"/>
      <x:c r="AB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c r="AA47" s="25"/>
      <x:c r="AB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c r="AA48" s="25"/>
      <x:c r="AB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c r="AA49" s="25"/>
      <x:c r="AB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c r="AA50" s="25"/>
      <x:c r="AB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c r="AA51" s="25"/>
      <x:c r="AB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c r="AA52" s="25"/>
      <x:c r="AB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c r="AA53" s="25"/>
      <x:c r="AB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c r="AA54" s="25"/>
      <x:c r="AB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c r="AA55" s="25"/>
      <x:c r="AB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c r="AA56" s="25"/>
      <x:c r="AB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c r="AA57" s="25"/>
      <x:c r="AB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c r="AA58" s="25"/>
      <x:c r="AB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c r="AA59" s="25"/>
      <x:c r="AB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c r="AA60" s="25"/>
      <x:c r="AB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c r="AA61" s="25"/>
      <x:c r="AB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c r="AA62" s="25"/>
      <x:c r="AB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c r="AA63" s="25"/>
      <x:c r="AB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c r="AA64" s="25"/>
      <x:c r="AB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c r="AA65" s="25"/>
      <x:c r="AB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c r="AA66" s="25"/>
      <x:c r="AB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c r="AA67" s="25"/>
      <x:c r="AB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c r="AA69" s="25"/>
      <x:c r="AB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c r="AA70" s="25"/>
      <x:c r="AB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c r="AA71" s="25"/>
      <x:c r="AB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c r="AA72" s="25"/>
      <x:c r="AB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c r="AA73" s="25"/>
      <x:c r="AB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c r="AA74" s="25"/>
      <x:c r="AB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c r="AA75" s="25"/>
      <x:c r="AB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c r="AA76" s="25"/>
      <x:c r="AB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c r="AA77" s="25"/>
      <x:c r="AB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c r="AA78" s="25"/>
      <x:c r="AB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c r="AA79" s="25"/>
      <x:c r="AB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c r="AA80" s="25"/>
      <x:c r="AB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c r="AA81" s="25"/>
      <x:c r="AB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c r="AA82" s="25"/>
      <x:c r="AB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c r="AA83" s="25"/>
      <x:c r="AB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c r="AA84" s="25"/>
      <x:c r="AB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c r="AA85" s="25"/>
      <x:c r="AB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c r="AA86" s="25"/>
      <x:c r="AB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c r="AA87" s="25"/>
      <x:c r="AB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c r="AA88" s="25"/>
      <x:c r="AB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c r="AA89" s="25"/>
      <x:c r="AB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c r="AA90" s="25"/>
      <x:c r="AB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c r="AA91" s="25"/>
      <x:c r="AB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c r="AA92" s="25"/>
      <x:c r="AB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c r="AA93" s="25"/>
      <x:c r="AB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c r="AA94" s="25"/>
      <x:c r="AB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c r="AA95" s="25"/>
      <x:c r="AB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c r="AA96" s="25"/>
      <x:c r="AB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c r="AA97" s="25"/>
      <x:c r="AB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c r="AA98" s="25"/>
      <x:c r="AB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c r="AA99" s="25"/>
      <x:c r="AB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c r="AA100" s="25"/>
      <x:c r="AB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c r="AA101" s="25"/>
      <x:c r="AB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c r="AA102" s="25"/>
      <x:c r="AB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c r="AA103" s="25"/>
      <x:c r="AB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c r="AA104" s="25"/>
      <x:c r="AB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c r="AA105" s="25"/>
      <x:c r="AB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c r="AA106" s="25"/>
      <x:c r="AB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c r="AA107" s="25"/>
      <x:c r="AB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c r="AA108" s="25"/>
      <x:c r="AB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c r="AA109" s="25"/>
      <x:c r="AB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c r="AA110" s="25"/>
      <x:c r="AB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c r="AA111" s="25"/>
      <x:c r="AB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c r="AA112" s="25"/>
      <x:c r="AB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c r="AA113" s="25"/>
      <x:c r="AB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c r="AA114" s="25"/>
      <x:c r="AB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c r="AA115" s="25"/>
      <x:c r="AB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c r="AA116" s="25"/>
      <x:c r="AB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c r="AA117" s="25"/>
      <x:c r="AB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c r="AA118" s="25"/>
      <x:c r="AB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c r="AA119" s="25"/>
      <x:c r="AB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c r="AA120" s="25"/>
      <x:c r="AB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c r="AA121" s="25"/>
      <x:c r="AB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c r="AA122" s="25"/>
      <x:c r="AB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c r="AA123" s="25"/>
      <x:c r="AB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c r="AA124" s="25"/>
      <x:c r="AB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c r="AA125" s="25"/>
      <x:c r="AB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c r="AA126" s="25"/>
      <x:c r="AB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c r="AA127" s="25"/>
      <x:c r="AB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c r="AA128" s="25"/>
      <x:c r="AB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c r="AA129" s="25"/>
      <x:c r="AB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c r="AA130" s="25"/>
      <x:c r="AB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c r="AA131" s="25"/>
      <x:c r="AB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c r="AA132" s="25"/>
      <x:c r="AB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c r="AA133" s="25"/>
      <x:c r="AB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c r="AA134" s="25"/>
      <x:c r="AB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c r="AA135" s="25"/>
      <x:c r="AB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c r="AA136" s="25"/>
      <x:c r="AB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c r="AA137" s="25"/>
      <x:c r="AB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c r="AA138" s="25"/>
      <x:c r="AB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c r="AA139" s="25"/>
      <x:c r="AB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c r="AA140" s="25"/>
      <x:c r="AB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c r="AA141" s="25"/>
      <x:c r="AB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c r="AA142" s="25"/>
      <x:c r="AB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c r="AA143" s="25"/>
      <x:c r="AB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c r="AA144" s="25"/>
      <x:c r="AB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c r="AA145" s="25"/>
      <x:c r="AB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c r="AA146" s="25"/>
      <x:c r="AB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c r="AA147" s="25"/>
      <x:c r="AB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c r="AA148" s="25"/>
      <x:c r="AB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c r="AA149" s="25"/>
      <x:c r="AB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c r="AA150" s="25"/>
      <x:c r="AB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c r="AA151" s="25"/>
      <x:c r="AB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c r="AA152" s="25"/>
      <x:c r="AB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c r="AA153" s="25"/>
      <x:c r="AB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c r="AA154" s="25"/>
      <x:c r="AB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c r="AA155" s="25"/>
      <x:c r="AB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c r="AA156" s="25"/>
      <x:c r="AB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c r="AA157" s="25"/>
      <x:c r="AB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c r="AA158" s="25"/>
      <x:c r="AB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c r="AA159" s="25"/>
      <x:c r="AB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c r="AA160" s="25"/>
      <x:c r="AB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c r="AA161" s="25"/>
      <x:c r="AB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c r="AA162" s="25"/>
      <x:c r="AB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c r="AA163" s="25"/>
      <x:c r="AB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c r="AA164" s="25"/>
      <x:c r="AB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c r="AA165" s="25"/>
      <x:c r="AB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c r="AA166" s="25"/>
      <x:c r="AB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c r="AA167" s="25"/>
      <x:c r="AB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c r="AA168" s="25"/>
      <x:c r="AB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c r="AA169" s="25"/>
      <x:c r="AB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c r="AA170" s="25"/>
      <x:c r="AB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c r="AA171" s="25"/>
      <x:c r="AB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c r="AA172" s="25"/>
      <x:c r="AB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c r="AA173" s="25"/>
      <x:c r="AB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c r="AA174" s="25"/>
      <x:c r="AB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c r="AA175" s="25"/>
      <x:c r="AB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c r="AA176" s="25"/>
      <x:c r="AB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c r="AA177" s="25"/>
      <x:c r="AB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c r="AA178" s="25"/>
      <x:c r="AB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c r="AA179" s="25"/>
      <x:c r="AB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c r="AA180" s="25"/>
      <x:c r="AB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c r="AA181" s="25"/>
      <x:c r="AB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c r="AA182" s="25"/>
      <x:c r="AB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c r="AA183" s="25"/>
      <x:c r="AB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c r="AA184" s="25"/>
      <x:c r="AB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c r="AA185" s="25"/>
      <x:c r="AB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c r="AA186" s="25"/>
      <x:c r="AB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c r="AA187" s="25"/>
      <x:c r="AB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c r="AA188" s="25"/>
      <x:c r="AB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c r="AA189" s="25"/>
      <x:c r="AB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c r="AA190" s="25"/>
      <x:c r="AB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c r="AA191" s="25"/>
      <x:c r="AB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c r="AA192" s="25"/>
      <x:c r="AB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c r="AA193" s="25"/>
      <x:c r="AB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c r="AA194" s="25"/>
      <x:c r="AB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c r="AA195" s="25"/>
      <x:c r="AB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c r="AA196" s="25"/>
      <x:c r="AB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c r="AA197" s="25"/>
      <x:c r="AB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c r="AA198" s="25"/>
      <x:c r="AB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c r="AA199" s="25"/>
      <x:c r="AB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c r="AA200" s="25"/>
      <x:c r="AB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c r="AA201" s="25"/>
      <x:c r="AB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c r="AA202" s="25"/>
      <x:c r="AB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c r="AA203" s="25"/>
      <x:c r="AB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c r="AA204" s="25"/>
      <x:c r="AB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c r="AA205" s="25"/>
      <x:c r="AB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c r="AA206" s="25"/>
      <x:c r="AB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c r="AA207" s="25"/>
      <x:c r="AB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c r="AA208" s="25"/>
      <x:c r="AB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c r="AA209" s="25"/>
      <x:c r="AB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c r="AA210" s="25"/>
      <x:c r="AB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c r="AA211" s="25"/>
      <x:c r="AB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c r="AA212" s="25"/>
      <x:c r="AB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c r="AA213" s="25"/>
      <x:c r="AB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c r="AA214" s="25"/>
      <x:c r="AB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c r="AA215" s="25"/>
      <x:c r="AB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c r="AA216" s="25"/>
      <x:c r="AB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c r="AA217" s="25"/>
      <x:c r="AB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c r="AA218" s="25"/>
      <x:c r="AB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c r="AA219" s="25"/>
      <x:c r="AB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c r="AA220" s="25"/>
      <x:c r="AB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c r="AA221" s="25"/>
      <x:c r="AB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c r="AA222" s="25"/>
      <x:c r="AB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c r="AA223" s="25"/>
      <x:c r="AB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c r="AA224" s="25"/>
      <x:c r="AB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c r="AA225" s="25"/>
      <x:c r="AB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c r="AA226" s="25"/>
      <x:c r="AB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c r="AA227" s="25"/>
      <x:c r="AB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c r="AA228" s="25"/>
      <x:c r="AB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c r="AA229" s="25"/>
      <x:c r="AB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c r="AA230" s="25"/>
      <x:c r="AB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c r="AA231" s="25"/>
      <x:c r="AB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c r="AA232" s="25"/>
      <x:c r="AB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c r="AA233" s="25"/>
      <x:c r="AB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c r="AA234" s="25"/>
      <x:c r="AB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c r="AA235" s="25"/>
      <x:c r="AB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c r="AA236" s="25"/>
      <x:c r="AB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c r="AA237" s="25"/>
      <x:c r="AB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c r="AA238" s="25"/>
      <x:c r="AB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c r="AA239" s="25"/>
      <x:c r="AB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c r="AA240" s="25"/>
      <x:c r="AB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c r="AA241" s="25"/>
      <x:c r="AB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c r="AA242" s="25"/>
      <x:c r="AB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c r="AA243" s="25"/>
      <x:c r="AB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c r="AA244" s="25"/>
      <x:c r="AB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c r="AA245" s="25"/>
      <x:c r="AB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c r="AA246" s="25"/>
      <x:c r="AB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c r="AA247" s="25"/>
      <x:c r="AB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c r="AA248" s="25"/>
      <x:c r="AB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c r="AA249" s="25"/>
      <x:c r="AB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c r="AA250" s="25"/>
      <x:c r="AB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c r="AA251" s="25"/>
      <x:c r="AB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c r="AA252" s="25"/>
      <x:c r="AB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c r="AA253" s="25"/>
      <x:c r="AB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c r="AA254" s="25"/>
      <x:c r="AB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c r="AA255" s="25"/>
      <x:c r="AB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c r="AA256" s="25"/>
      <x:c r="AB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c r="AA257" s="25"/>
      <x:c r="AB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c r="AA258" s="25"/>
      <x:c r="AB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c r="AA259" s="25"/>
      <x:c r="AB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c r="AA260" s="25"/>
      <x:c r="AB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c r="AA261" s="25"/>
      <x:c r="AB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c r="AA262" s="25"/>
      <x:c r="AB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c r="AA263" s="25"/>
      <x:c r="AB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c r="AA264" s="25"/>
      <x:c r="AB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c r="AA265" s="25"/>
      <x:c r="AB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c r="AA266" s="25"/>
      <x:c r="AB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c r="AA267" s="25"/>
      <x:c r="AB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c r="AA268" s="25"/>
      <x:c r="AB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c r="AA269" s="25"/>
      <x:c r="AB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c r="AA270" s="25"/>
      <x:c r="AB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c r="AA271" s="25"/>
      <x:c r="AB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c r="AA272" s="25"/>
      <x:c r="AB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c r="AA273" s="25"/>
      <x:c r="AB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c r="AA274" s="25"/>
      <x:c r="AB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c r="AA275" s="25"/>
      <x:c r="AB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c r="AA276" s="25"/>
      <x:c r="AB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c r="AA277" s="25"/>
      <x:c r="AB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c r="AA278" s="25"/>
      <x:c r="AB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c r="AA279" s="25"/>
      <x:c r="AB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c r="AA280" s="25"/>
      <x:c r="AB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c r="AA281" s="25"/>
      <x:c r="AB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c r="AA282" s="25"/>
      <x:c r="AB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c r="AA283" s="25"/>
      <x:c r="AB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c r="AA284" s="25"/>
      <x:c r="AB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c r="AA285" s="25"/>
      <x:c r="AB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c r="AA286" s="25"/>
      <x:c r="AB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c r="AA287" s="25"/>
      <x:c r="AB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c r="AA288" s="25"/>
      <x:c r="AB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c r="AA289" s="25"/>
      <x:c r="AB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c r="AA290" s="25"/>
      <x:c r="AB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c r="AA291" s="25"/>
      <x:c r="AB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c r="AA292" s="25"/>
      <x:c r="AB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c r="AA293" s="25"/>
      <x:c r="AB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c r="AA294" s="25"/>
      <x:c r="AB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c r="AA295" s="25"/>
      <x:c r="AB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c r="AA296" s="25"/>
      <x:c r="AB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c r="AA297" s="25"/>
      <x:c r="AB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c r="AA298" s="25"/>
      <x:c r="AB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c r="AA299" s="25"/>
      <x:c r="AB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c r="AA300" s="25"/>
      <x:c r="AB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c r="AA301" s="25"/>
      <x:c r="AB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c r="AA302" s="25"/>
      <x:c r="AB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c r="AA303" s="25"/>
      <x:c r="AB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c r="AA304" s="25"/>
      <x:c r="AB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c r="AA305" s="25"/>
      <x:c r="AB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c r="AA306" s="25"/>
      <x:c r="AB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c r="AA307" s="25"/>
      <x:c r="AB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c r="AA308" s="25"/>
      <x:c r="AB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c r="AA309" s="25"/>
      <x:c r="AB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c r="AA310" s="25"/>
      <x:c r="AB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c r="AA311" s="25"/>
      <x:c r="AB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c r="AA312" s="25"/>
      <x:c r="AB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c r="AA313" s="25"/>
      <x:c r="AB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c r="AA314" s="25"/>
      <x:c r="AB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c r="AA315" s="25"/>
      <x:c r="AB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c r="AA316" s="25"/>
      <x:c r="AB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c r="AA317" s="25"/>
      <x:c r="AB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c r="AA318" s="25"/>
      <x:c r="AB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c r="AA319" s="25"/>
      <x:c r="AB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c r="AA320" s="25"/>
      <x:c r="AB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c r="AA321" s="25"/>
      <x:c r="AB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c r="AA322" s="25"/>
      <x:c r="AB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c r="AA323" s="25"/>
      <x:c r="AB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c r="AA324" s="25"/>
      <x:c r="AB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c r="AA325" s="25"/>
      <x:c r="AB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c r="AA326" s="25"/>
      <x:c r="AB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c r="AA327" s="25"/>
      <x:c r="AB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c r="AA328" s="25"/>
      <x:c r="AB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c r="AA329" s="25"/>
      <x:c r="AB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c r="AA330" s="25"/>
      <x:c r="AB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c r="AA331" s="25"/>
      <x:c r="AB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c r="AA332" s="25"/>
      <x:c r="AB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c r="AA333" s="25"/>
      <x:c r="AB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c r="AA334" s="25"/>
      <x:c r="AB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c r="AA335" s="25"/>
      <x:c r="AB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c r="AA336" s="25"/>
      <x:c r="AB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c r="AA337" s="25"/>
      <x:c r="AB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c r="AA338" s="25"/>
      <x:c r="AB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c r="AA339" s="25"/>
      <x:c r="AB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c r="AA340" s="25"/>
      <x:c r="AB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c r="AA341" s="25"/>
      <x:c r="AB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c r="AA342" s="25"/>
      <x:c r="AB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c r="AA343" s="25"/>
      <x:c r="AB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c r="AA344" s="25"/>
      <x:c r="AB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c r="AA345" s="25"/>
      <x:c r="AB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c r="AA346" s="25"/>
      <x:c r="AB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c r="AA347" s="25"/>
      <x:c r="AB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c r="AA348" s="25"/>
      <x:c r="AB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c r="AA349" s="25"/>
      <x:c r="AB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c r="AA350" s="25"/>
      <x:c r="AB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c r="AA351" s="25"/>
      <x:c r="AB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c r="AA352" s="25"/>
      <x:c r="AB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c r="AA353" s="25"/>
      <x:c r="AB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c r="AA354" s="25"/>
      <x:c r="AB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c r="AA355" s="25"/>
      <x:c r="AB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c r="AA356" s="25"/>
      <x:c r="AB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c r="AA357" s="25"/>
      <x:c r="AB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c r="AA358" s="25"/>
      <x:c r="AB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c r="AA359" s="25"/>
      <x:c r="AB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c r="AA360" s="25"/>
      <x:c r="AB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c r="AA361" s="25"/>
      <x:c r="AB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c r="AA362" s="25"/>
      <x:c r="AB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c r="AA363" s="25"/>
      <x:c r="AB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c r="AA364" s="25"/>
      <x:c r="AB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c r="AA365" s="25"/>
      <x:c r="AB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c r="AA366" s="25"/>
      <x:c r="AB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c r="AA367" s="25"/>
      <x:c r="AB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c r="AA368" s="25"/>
      <x:c r="AB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c r="AA369" s="25"/>
      <x:c r="AB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c r="AA370" s="25"/>
      <x:c r="AB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c r="AA371" s="25"/>
      <x:c r="AB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c r="AA372" s="25"/>
      <x:c r="AB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c r="AA373" s="25"/>
      <x:c r="AB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c r="AA374" s="25"/>
      <x:c r="AB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c r="AA375" s="25"/>
      <x:c r="AB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c r="AA376" s="25"/>
      <x:c r="AB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c r="AA377" s="25"/>
      <x:c r="AB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c r="AA378" s="25"/>
      <x:c r="AB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c r="AA379" s="25"/>
      <x:c r="AB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c r="AA380" s="25"/>
      <x:c r="AB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c r="AA381" s="25"/>
      <x:c r="AB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c r="AA382" s="25"/>
      <x:c r="AB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c r="AA383" s="25"/>
      <x:c r="AB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c r="AA384" s="25"/>
      <x:c r="AB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c r="AA385" s="25"/>
      <x:c r="AB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c r="AA386" s="25"/>
      <x:c r="AB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c r="AA387" s="25"/>
      <x:c r="AB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c r="AA388" s="25"/>
      <x:c r="AB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c r="AA389" s="25"/>
      <x:c r="AB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c r="AA390" s="25"/>
      <x:c r="AB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c r="AA391" s="25"/>
      <x:c r="AB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c r="AA392" s="25"/>
      <x:c r="AB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c r="AA393" s="25"/>
      <x:c r="AB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c r="AA394" s="25"/>
      <x:c r="AB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c r="AA395" s="25"/>
      <x:c r="AB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c r="AA396" s="25"/>
      <x:c r="AB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c r="AA397" s="25"/>
      <x:c r="AB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c r="AA398" s="25"/>
      <x:c r="AB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c r="AA399" s="25"/>
      <x:c r="AB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c r="AA400" s="25"/>
      <x:c r="AB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c r="AA401" s="25"/>
      <x:c r="AB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c r="AA402" s="25"/>
      <x:c r="AB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c r="AA403" s="25"/>
      <x:c r="AB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c r="AA404" s="25"/>
      <x:c r="AB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c r="AA405" s="25"/>
      <x:c r="AB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c r="AA406" s="25"/>
      <x:c r="AB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c r="AA407" s="25"/>
      <x:c r="AB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c r="AA408" s="25"/>
      <x:c r="AB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c r="AA409" s="25"/>
      <x:c r="AB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c r="AA410" s="25"/>
      <x:c r="AB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c r="AA411" s="25"/>
      <x:c r="AB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c r="AA412" s="25"/>
      <x:c r="AB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c r="AA413" s="25"/>
      <x:c r="AB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c r="AA414" s="25"/>
      <x:c r="AB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c r="AA415" s="25"/>
      <x:c r="AB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c r="AA416" s="25"/>
      <x:c r="AB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c r="AA417" s="25"/>
      <x:c r="AB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c r="AA418" s="25"/>
      <x:c r="AB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c r="AA419" s="25"/>
      <x:c r="AB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c r="AA420" s="25"/>
      <x:c r="AB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c r="AA421" s="25"/>
      <x:c r="AB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c r="AA422" s="25"/>
      <x:c r="AB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c r="AA423" s="25"/>
      <x:c r="AB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c r="AA424" s="25"/>
      <x:c r="AB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c r="AA425" s="25"/>
      <x:c r="AB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c r="AA426" s="25"/>
      <x:c r="AB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c r="AA427" s="25"/>
      <x:c r="AB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c r="AA428" s="25"/>
      <x:c r="AB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c r="AA429" s="25"/>
      <x:c r="AB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c r="AA430" s="25"/>
      <x:c r="AB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c r="AA431" s="25"/>
      <x:c r="AB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c r="AA432" s="25"/>
      <x:c r="AB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c r="AA433" s="25"/>
      <x:c r="AB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c r="AA434" s="25"/>
      <x:c r="AB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c r="AA435" s="25"/>
      <x:c r="AB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c r="AA436" s="25"/>
      <x:c r="AB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c r="AA437" s="25"/>
      <x:c r="AB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c r="AA438" s="25"/>
      <x:c r="AB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c r="AA439" s="25"/>
      <x:c r="AB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c r="AA440" s="25"/>
      <x:c r="AB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c r="AA441" s="25"/>
      <x:c r="AB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c r="AA442" s="25"/>
      <x:c r="AB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c r="AA443" s="25"/>
      <x:c r="AB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c r="AA444" s="25"/>
      <x:c r="AB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c r="AA445" s="25"/>
      <x:c r="AB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c r="AA446" s="25"/>
      <x:c r="AB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c r="AA447" s="25"/>
      <x:c r="AB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c r="AA448" s="25"/>
      <x:c r="AB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c r="AA449" s="25"/>
      <x:c r="AB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c r="AA450" s="25"/>
      <x:c r="AB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c r="AA451" s="25"/>
      <x:c r="AB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c r="AA452" s="25"/>
      <x:c r="AB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c r="AA453" s="25"/>
      <x:c r="AB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c r="AA454" s="25"/>
      <x:c r="AB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c r="AA455" s="25"/>
      <x:c r="AB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c r="AA456" s="25"/>
      <x:c r="AB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c r="AA457" s="25"/>
      <x:c r="AB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c r="AA458" s="25"/>
      <x:c r="AB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c r="AA459" s="25"/>
      <x:c r="AB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c r="AA460" s="25"/>
      <x:c r="AB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c r="AA461" s="25"/>
      <x:c r="AB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c r="AA462" s="25"/>
      <x:c r="AB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c r="AA463" s="25"/>
      <x:c r="AB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c r="AA464" s="25"/>
      <x:c r="AB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c r="AA465" s="25"/>
      <x:c r="AB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c r="AA466" s="25"/>
      <x:c r="AB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c r="AA467" s="25"/>
      <x:c r="AB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c r="AA468" s="25"/>
      <x:c r="AB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c r="AA469" s="25"/>
      <x:c r="AB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c r="AA470" s="25"/>
      <x:c r="AB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c r="AA471" s="25"/>
      <x:c r="AB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c r="AA472" s="25"/>
      <x:c r="AB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c r="AA473" s="25"/>
      <x:c r="AB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c r="AA474" s="25"/>
      <x:c r="AB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c r="AA475" s="25"/>
      <x:c r="AB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c r="AA476" s="25"/>
      <x:c r="AB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c r="AA477" s="25"/>
      <x:c r="AB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c r="AA478" s="25"/>
      <x:c r="AB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c r="AA479" s="25"/>
      <x:c r="AB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c r="AA480" s="25"/>
      <x:c r="AB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c r="AA481" s="25"/>
      <x:c r="AB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c r="AA482" s="25"/>
      <x:c r="AB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c r="AA483" s="25"/>
      <x:c r="AB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c r="AA484" s="25"/>
      <x:c r="AB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c r="AA485" s="25"/>
      <x:c r="AB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c r="AA486" s="25"/>
      <x:c r="AB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c r="AA487" s="25"/>
      <x:c r="AB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c r="AA488" s="25"/>
      <x:c r="AB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c r="AA489" s="25"/>
      <x:c r="AB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c r="AA490" s="25"/>
      <x:c r="AB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c r="AA491" s="25"/>
      <x:c r="AB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c r="AA492" s="25"/>
      <x:c r="AB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c r="AA493" s="25"/>
      <x:c r="AB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c r="AA494" s="25"/>
      <x:c r="AB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c r="AA495" s="25"/>
      <x:c r="AB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c r="AA496" s="25"/>
      <x:c r="AB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c r="AA497" s="25"/>
      <x:c r="AB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c r="AA498" s="25"/>
      <x:c r="AB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c r="AA499" s="25"/>
      <x:c r="AB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c r="AA500" s="25"/>
      <x:c r="AB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c r="AA501" s="25"/>
      <x:c r="AB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c r="AA502" s="25"/>
      <x:c r="AB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c r="AA503" s="25"/>
      <x:c r="AB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c r="AA504" s="25"/>
      <x:c r="AB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c r="AA505" s="25"/>
      <x:c r="AB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c r="AA506" s="25"/>
      <x:c r="AB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c r="AA507" s="25"/>
      <x:c r="AB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c r="AA508" s="25"/>
      <x:c r="AB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c r="AA509" s="25"/>
      <x:c r="AB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c r="AA510" s="25"/>
      <x:c r="AB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c r="AA511" s="25"/>
      <x:c r="AB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c r="AA512" s="25"/>
      <x:c r="AB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c r="AA513" s="25"/>
      <x:c r="AB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c r="AA514" s="25"/>
      <x:c r="AB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c r="AA515" s="25"/>
      <x:c r="AB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c r="AA516" s="25"/>
      <x:c r="AB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c r="AA517" s="25"/>
      <x:c r="AB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c r="AA518" s="25"/>
      <x:c r="AB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c r="AA519" s="25"/>
      <x:c r="AB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c r="AA520" s="25"/>
      <x:c r="AB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c r="AA521" s="25"/>
      <x:c r="AB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c r="AA522" s="25"/>
      <x:c r="AB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c r="AA523" s="25"/>
      <x:c r="AB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c r="AA524" s="25"/>
      <x:c r="AB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c r="AA525" s="25"/>
      <x:c r="AB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c r="AA526" s="25"/>
      <x:c r="AB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c r="AA527" s="25"/>
      <x:c r="AB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c r="AA528" s="25"/>
      <x:c r="AB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c r="AA529" s="25"/>
      <x:c r="AB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c r="AA530" s="25"/>
      <x:c r="AB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c r="AA531" s="25"/>
      <x:c r="AB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c r="AA532" s="25"/>
      <x:c r="AB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c r="AA533" s="25"/>
      <x:c r="AB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c r="AA534" s="25"/>
      <x:c r="AB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c r="AA535" s="25"/>
      <x:c r="AB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c r="AA536" s="25"/>
      <x:c r="AB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c r="AA537" s="25"/>
      <x:c r="AB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c r="AA538" s="25"/>
      <x:c r="AB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c r="AA539" s="25"/>
      <x:c r="AB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c r="AA540" s="25"/>
      <x:c r="AB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c r="AA541" s="25"/>
      <x:c r="AB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c r="AA542" s="25"/>
      <x:c r="AB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c r="AA543" s="25"/>
      <x:c r="AB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c r="AA544" s="25"/>
      <x:c r="AB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c r="AA545" s="25"/>
      <x:c r="AB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c r="AA546" s="25"/>
      <x:c r="AB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c r="AA547" s="25"/>
      <x:c r="AB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c r="AA548" s="25"/>
      <x:c r="AB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c r="AA549" s="25"/>
      <x:c r="AB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c r="AA550" s="25"/>
      <x:c r="AB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c r="AA551" s="25"/>
      <x:c r="AB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c r="AA552" s="25"/>
      <x:c r="AB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c r="AA553" s="25"/>
      <x:c r="AB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c r="AA554" s="25"/>
      <x:c r="AB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c r="AA555" s="25"/>
      <x:c r="AB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c r="AA556" s="25"/>
      <x:c r="AB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c r="AA557" s="25"/>
      <x:c r="AB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c r="AA558" s="25"/>
      <x:c r="AB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c r="AA559" s="25"/>
      <x:c r="AB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c r="AA560" s="25"/>
      <x:c r="AB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c r="AA561" s="25"/>
      <x:c r="AB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c r="AA562" s="25"/>
      <x:c r="AB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c r="AA563" s="25"/>
      <x:c r="AB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c r="AA564" s="25"/>
      <x:c r="AB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c r="AA565" s="25"/>
      <x:c r="AB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c r="AA566" s="25"/>
      <x:c r="AB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c r="AA567" s="25"/>
      <x:c r="AB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c r="AA568" s="25"/>
      <x:c r="AB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c r="AA569" s="25"/>
      <x:c r="AB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c r="AA570" s="25"/>
      <x:c r="AB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c r="AA571" s="25"/>
      <x:c r="AB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c r="AA572" s="25"/>
      <x:c r="AB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c r="AA573" s="25"/>
      <x:c r="AB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c r="AA574" s="25"/>
      <x:c r="AB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c r="AA575" s="25"/>
      <x:c r="AB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c r="AA576" s="25"/>
      <x:c r="AB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c r="AA577" s="25"/>
      <x:c r="AB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c r="AA578" s="25"/>
      <x:c r="AB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c r="AA579" s="25"/>
      <x:c r="AB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c r="AA580" s="25"/>
      <x:c r="AB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c r="AA581" s="25"/>
      <x:c r="AB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c r="AA582" s="25"/>
      <x:c r="AB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c r="AA583" s="25"/>
      <x:c r="AB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c r="AA584" s="25"/>
      <x:c r="AB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c r="AA585" s="25"/>
      <x:c r="AB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c r="AA586" s="25"/>
      <x:c r="AB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c r="AA587" s="25"/>
      <x:c r="AB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c r="AA588" s="25"/>
      <x:c r="AB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c r="AA589" s="25"/>
      <x:c r="AB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c r="AA590" s="25"/>
      <x:c r="AB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c r="AA591" s="25"/>
      <x:c r="AB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c r="AA592" s="25"/>
      <x:c r="AB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c r="AA593" s="25"/>
      <x:c r="AB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c r="AA594" s="25"/>
      <x:c r="AB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c r="AA595" s="25"/>
      <x:c r="AB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c r="AA596" s="25"/>
      <x:c r="AB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c r="AA597" s="25"/>
      <x:c r="AB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c r="AA598" s="25"/>
      <x:c r="AB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c r="AA599" s="25"/>
      <x:c r="AB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c r="AA600" s="25"/>
      <x:c r="AB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c r="AA601" s="25"/>
      <x:c r="AB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c r="AA602" s="25"/>
      <x:c r="AB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c r="AA603" s="25"/>
      <x:c r="AB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c r="AA604" s="25"/>
      <x:c r="AB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c r="AA605" s="25"/>
      <x:c r="AB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c r="AA606" s="25"/>
      <x:c r="AB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c r="AA607" s="25"/>
      <x:c r="AB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c r="AA608" s="25"/>
      <x:c r="AB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c r="AA609" s="25"/>
      <x:c r="AB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c r="AA610" s="25"/>
      <x:c r="AB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c r="AA611" s="25"/>
      <x:c r="AB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c r="AA612" s="25"/>
      <x:c r="AB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c r="AA613" s="25"/>
      <x:c r="AB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c r="AA614" s="25"/>
      <x:c r="AB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c r="AA615" s="25"/>
      <x:c r="AB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c r="AA616" s="25"/>
      <x:c r="AB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c r="AA617" s="25"/>
      <x:c r="AB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c r="AA618" s="25"/>
      <x:c r="AB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c r="AA619" s="25"/>
      <x:c r="AB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c r="AA620" s="25"/>
      <x:c r="AB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c r="AA621" s="25"/>
      <x:c r="AB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c r="AA622" s="25"/>
      <x:c r="AB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c r="AA623" s="25"/>
      <x:c r="AB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c r="AA624" s="25"/>
      <x:c r="AB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c r="AA625" s="25"/>
      <x:c r="AB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c r="AA626" s="25"/>
      <x:c r="AB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c r="AA627" s="25"/>
      <x:c r="AB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c r="AA628" s="25"/>
      <x:c r="AB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c r="AA629" s="25"/>
      <x:c r="AB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c r="AA630" s="25"/>
      <x:c r="AB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c r="AA631" s="25"/>
      <x:c r="AB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c r="AA632" s="25"/>
      <x:c r="AB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c r="AA633" s="25"/>
      <x:c r="AB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c r="AA634" s="25"/>
      <x:c r="AB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c r="AA635" s="25"/>
      <x:c r="AB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c r="AA636" s="25"/>
      <x:c r="AB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c r="AA637" s="25"/>
      <x:c r="AB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c r="AA638" s="25"/>
      <x:c r="AB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c r="AA639" s="25"/>
      <x:c r="AB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c r="AA640" s="25"/>
      <x:c r="AB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c r="AA641" s="25"/>
      <x:c r="AB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c r="AA642" s="25"/>
      <x:c r="AB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c r="AA643" s="25"/>
      <x:c r="AB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c r="AA644" s="25"/>
      <x:c r="AB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c r="AA645" s="25"/>
      <x:c r="AB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c r="AA646" s="25"/>
      <x:c r="AB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c r="AA647" s="25"/>
      <x:c r="AB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c r="AA648" s="25"/>
      <x:c r="AB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c r="AA649" s="25"/>
      <x:c r="AB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c r="AA650" s="25"/>
      <x:c r="AB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c r="AA651" s="25"/>
      <x:c r="AB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c r="AA652" s="25"/>
      <x:c r="AB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c r="AA653" s="25"/>
      <x:c r="AB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c r="AA654" s="25"/>
      <x:c r="AB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c r="AA655" s="25"/>
      <x:c r="AB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c r="AA656" s="25"/>
      <x:c r="AB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c r="AA657" s="25"/>
      <x:c r="AB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c r="AA658" s="25"/>
      <x:c r="AB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c r="AA659" s="25"/>
      <x:c r="AB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c r="AA660" s="25"/>
      <x:c r="AB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c r="AA661" s="25"/>
      <x:c r="AB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c r="AA662" s="25"/>
      <x:c r="AB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c r="AA663" s="25"/>
      <x:c r="AB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c r="AA664" s="25"/>
      <x:c r="AB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c r="AA665" s="25"/>
      <x:c r="AB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c r="AA666" s="25"/>
      <x:c r="AB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c r="AA667" s="25"/>
      <x:c r="AB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c r="AA668" s="25"/>
      <x:c r="AB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c r="AA669" s="25"/>
      <x:c r="AB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c r="AA670" s="25"/>
      <x:c r="AB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c r="AA671" s="25"/>
      <x:c r="AB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c r="AA672" s="25"/>
      <x:c r="AB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c r="AA673" s="25"/>
      <x:c r="AB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c r="AA674" s="25"/>
      <x:c r="AB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c r="AA675" s="25"/>
      <x:c r="AB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c r="AA676" s="25"/>
      <x:c r="AB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c r="AA677" s="25"/>
      <x:c r="AB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c r="AA678" s="25"/>
      <x:c r="AB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c r="AA679" s="25"/>
      <x:c r="AB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c r="AA680" s="25"/>
      <x:c r="AB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c r="AA681" s="25"/>
      <x:c r="AB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c r="AA682" s="25"/>
      <x:c r="AB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c r="AA683" s="25"/>
      <x:c r="AB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c r="AA684" s="25"/>
      <x:c r="AB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c r="AA685" s="25"/>
      <x:c r="AB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c r="AA686" s="25"/>
      <x:c r="AB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c r="AA687" s="25"/>
      <x:c r="AB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c r="AA688" s="25"/>
      <x:c r="AB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c r="AA689" s="25"/>
      <x:c r="AB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c r="AA690" s="25"/>
      <x:c r="AB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c r="AA691" s="25"/>
      <x:c r="AB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c r="AA692" s="25"/>
      <x:c r="AB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c r="AA693" s="25"/>
      <x:c r="AB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c r="AA694" s="25"/>
      <x:c r="AB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c r="AA695" s="25"/>
      <x:c r="AB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c r="AA696" s="25"/>
      <x:c r="AB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c r="AA697" s="25"/>
      <x:c r="AB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c r="AA698" s="25"/>
      <x:c r="AB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c r="AA699" s="25"/>
      <x:c r="AB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c r="AA700" s="25"/>
      <x:c r="AB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c r="AA701" s="25"/>
      <x:c r="AB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c r="AA702" s="25"/>
      <x:c r="AB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c r="AA703" s="25"/>
      <x:c r="AB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c r="AA704" s="25"/>
      <x:c r="AB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c r="AA705" s="25"/>
      <x:c r="AB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c r="AA706" s="25"/>
      <x:c r="AB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c r="AA707" s="25"/>
      <x:c r="AB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c r="AA708" s="25"/>
      <x:c r="AB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c r="AA709" s="25"/>
      <x:c r="AB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c r="AA710" s="25"/>
      <x:c r="AB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c r="AA711" s="25"/>
      <x:c r="AB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c r="AA712" s="25"/>
      <x:c r="AB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c r="AA713" s="25"/>
      <x:c r="AB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c r="AA714" s="25"/>
      <x:c r="AB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c r="AA715" s="25"/>
      <x:c r="AB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c r="AA716" s="25"/>
      <x:c r="AB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c r="AA717" s="25"/>
      <x:c r="AB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c r="AA718" s="25"/>
      <x:c r="AB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c r="AA719" s="25"/>
      <x:c r="AB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c r="AA720" s="25"/>
      <x:c r="AB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c r="AA721" s="25"/>
      <x:c r="AB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c r="AA722" s="25"/>
      <x:c r="AB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c r="AA723" s="25"/>
      <x:c r="AB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c r="AA724" s="25"/>
      <x:c r="AB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c r="AA725" s="25"/>
      <x:c r="AB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c r="AA726" s="25"/>
      <x:c r="AB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c r="AA727" s="25"/>
      <x:c r="AB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c r="AA728" s="25"/>
      <x:c r="AB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c r="AA729" s="25"/>
      <x:c r="AB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c r="AA730" s="25"/>
      <x:c r="AB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c r="AA731" s="25"/>
      <x:c r="AB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c r="AA732" s="25"/>
      <x:c r="AB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c r="AA733" s="25"/>
      <x:c r="AB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c r="AA734" s="25"/>
      <x:c r="AB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c r="AA735" s="25"/>
      <x:c r="AB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c r="AA736" s="25"/>
      <x:c r="AB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c r="AA737" s="25"/>
      <x:c r="AB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c r="AA738" s="25"/>
      <x:c r="AB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c r="AA739" s="25"/>
      <x:c r="AB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c r="AA740" s="25"/>
      <x:c r="AB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c r="AA741" s="25"/>
      <x:c r="AB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c r="AA742" s="25"/>
      <x:c r="AB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c r="AA743" s="25"/>
      <x:c r="AB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c r="AA744" s="25"/>
      <x:c r="AB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c r="AA745" s="25"/>
      <x:c r="AB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c r="AA746" s="25"/>
      <x:c r="AB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c r="AA747" s="25"/>
      <x:c r="AB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c r="AA748" s="25"/>
      <x:c r="AB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c r="AA749" s="25"/>
      <x:c r="AB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c r="AA750" s="25"/>
      <x:c r="AB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c r="AA751" s="25"/>
      <x:c r="AB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c r="AA752" s="25"/>
      <x:c r="AB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c r="AA753" s="25"/>
      <x:c r="AB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c r="AA754" s="25"/>
      <x:c r="AB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c r="AA755" s="25"/>
      <x:c r="AB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c r="AA756" s="25"/>
      <x:c r="AB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c r="AA757" s="25"/>
      <x:c r="AB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c r="AA758" s="25"/>
      <x:c r="AB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c r="AA759" s="25"/>
      <x:c r="AB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c r="AA760" s="25"/>
      <x:c r="AB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c r="AA761" s="25"/>
      <x:c r="AB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c r="AA762" s="25"/>
      <x:c r="AB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c r="AA763" s="25"/>
      <x:c r="AB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c r="AA764" s="25"/>
      <x:c r="AB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c r="AA765" s="25"/>
      <x:c r="AB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c r="AA766" s="25"/>
      <x:c r="AB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c r="AA767" s="25"/>
      <x:c r="AB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c r="AA768" s="25"/>
      <x:c r="AB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c r="AA769" s="25"/>
      <x:c r="AB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c r="AA770" s="25"/>
      <x:c r="AB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c r="AA771" s="25"/>
      <x:c r="AB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c r="AA772" s="25"/>
      <x:c r="AB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c r="AA773" s="25"/>
      <x:c r="AB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c r="AA774" s="25"/>
      <x:c r="AB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c r="AA775" s="25"/>
      <x:c r="AB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c r="AA776" s="25"/>
      <x:c r="AB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c r="AA777" s="25"/>
      <x:c r="AB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c r="AA778" s="25"/>
      <x:c r="AB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c r="AA779" s="25"/>
      <x:c r="AB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c r="AA780" s="25"/>
      <x:c r="AB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c r="AA781" s="25"/>
      <x:c r="AB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c r="AA782" s="25"/>
      <x:c r="AB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c r="AA783" s="25"/>
      <x:c r="AB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c r="AA784" s="25"/>
      <x:c r="AB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c r="AA785" s="25"/>
      <x:c r="AB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c r="AA786" s="25"/>
      <x:c r="AB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c r="AA787" s="25"/>
      <x:c r="AB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c r="AA788" s="25"/>
      <x:c r="AB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c r="AA789" s="25"/>
      <x:c r="AB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c r="AA790" s="25"/>
      <x:c r="AB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c r="AA791" s="25"/>
      <x:c r="AB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c r="AA792" s="25"/>
      <x:c r="AB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c r="AA793" s="25"/>
      <x:c r="AB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c r="AA794" s="25"/>
      <x:c r="AB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c r="AA795" s="25"/>
      <x:c r="AB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c r="AA796" s="25"/>
      <x:c r="AB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c r="AA797" s="25"/>
      <x:c r="AB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c r="AA798" s="25"/>
      <x:c r="AB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c r="AA799" s="25"/>
      <x:c r="AB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c r="AA800" s="25"/>
      <x:c r="AB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c r="AA801" s="25"/>
      <x:c r="AB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c r="AA802" s="25"/>
      <x:c r="AB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c r="AA803" s="25"/>
      <x:c r="AB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c r="AA804" s="25"/>
      <x:c r="AB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c r="AA805" s="25"/>
      <x:c r="AB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c r="AA806" s="25"/>
      <x:c r="AB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c r="AA807" s="25"/>
      <x:c r="AB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c r="AA808" s="25"/>
      <x:c r="AB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c r="AA809" s="25"/>
      <x:c r="AB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c r="AA810" s="25"/>
      <x:c r="AB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c r="AA811" s="25"/>
      <x:c r="AB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c r="AA812" s="25"/>
      <x:c r="AB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c r="AA813" s="25"/>
      <x:c r="AB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c r="AA814" s="25"/>
      <x:c r="AB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c r="AA815" s="25"/>
      <x:c r="AB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c r="AA816" s="25"/>
      <x:c r="AB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c r="AA817" s="25"/>
      <x:c r="AB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c r="AA818" s="25"/>
      <x:c r="AB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c r="AA819" s="25"/>
      <x:c r="AB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c r="AA820" s="25"/>
      <x:c r="AB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c r="AA821" s="25"/>
      <x:c r="AB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c r="AA822" s="25"/>
      <x:c r="AB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c r="AA823" s="25"/>
      <x:c r="AB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c r="AA824" s="25"/>
      <x:c r="AB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c r="AA825" s="25"/>
      <x:c r="AB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c r="AA826" s="25"/>
      <x:c r="AB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c r="AA827" s="25"/>
      <x:c r="AB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c r="AA828" s="25"/>
      <x:c r="AB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c r="AA829" s="25"/>
      <x:c r="AB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c r="AA830" s="25"/>
      <x:c r="AB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c r="AA831" s="25"/>
      <x:c r="AB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c r="AA832" s="25"/>
      <x:c r="AB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c r="AA833" s="25"/>
      <x:c r="AB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c r="AA834" s="25"/>
      <x:c r="AB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c r="AA835" s="25"/>
      <x:c r="AB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c r="AA836" s="25"/>
      <x:c r="AB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c r="AA837" s="25"/>
      <x:c r="AB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c r="AA838" s="25"/>
      <x:c r="AB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c r="AA839" s="25"/>
      <x:c r="AB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c r="AA840" s="25"/>
      <x:c r="AB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c r="AA841" s="25"/>
      <x:c r="AB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c r="AA842" s="25"/>
      <x:c r="AB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c r="AA843" s="25"/>
      <x:c r="AB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c r="AA844" s="25"/>
      <x:c r="AB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c r="AA845" s="25"/>
      <x:c r="AB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c r="AA846" s="25"/>
      <x:c r="AB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c r="AA847" s="25"/>
      <x:c r="AB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c r="AA848" s="25"/>
      <x:c r="AB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c r="AA849" s="25"/>
      <x:c r="AB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c r="AA850" s="25"/>
      <x:c r="AB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c r="AA851" s="25"/>
      <x:c r="AB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c r="AA852" s="25"/>
      <x:c r="AB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c r="AA853" s="25"/>
      <x:c r="AB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c r="AA854" s="25"/>
      <x:c r="AB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c r="AA855" s="25"/>
      <x:c r="AB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c r="AA856" s="25"/>
      <x:c r="AB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c r="AA857" s="25"/>
      <x:c r="AB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c r="AA858" s="25"/>
      <x:c r="AB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c r="AA859" s="25"/>
      <x:c r="AB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c r="AA860" s="25"/>
      <x:c r="AB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c r="AA861" s="25"/>
      <x:c r="AB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c r="AA862" s="25"/>
      <x:c r="AB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c r="AA863" s="25"/>
      <x:c r="AB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c r="AA864" s="25"/>
      <x:c r="AB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c r="AA865" s="25"/>
      <x:c r="AB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c r="AA866" s="25"/>
      <x:c r="AB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c r="AA867" s="25"/>
      <x:c r="AB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c r="AA868" s="25"/>
      <x:c r="AB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c r="AA869" s="25"/>
      <x:c r="AB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c r="AA870" s="25"/>
      <x:c r="AB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c r="AA871" s="25"/>
      <x:c r="AB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c r="AA872" s="25"/>
      <x:c r="AB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c r="AA873" s="25"/>
      <x:c r="AB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c r="AA874" s="25"/>
      <x:c r="AB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c r="AA875" s="25"/>
      <x:c r="AB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c r="AA876" s="25"/>
      <x:c r="AB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c r="AA877" s="25"/>
      <x:c r="AB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c r="AA878" s="25"/>
      <x:c r="AB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c r="AA879" s="25"/>
      <x:c r="AB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c r="AA880" s="25"/>
      <x:c r="AB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c r="AA881" s="25"/>
      <x:c r="AB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c r="AA882" s="25"/>
      <x:c r="AB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c r="AA883" s="25"/>
      <x:c r="AB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c r="AA884" s="25"/>
      <x:c r="AB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c r="AA885" s="25"/>
      <x:c r="AB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c r="AA886" s="25"/>
      <x:c r="AB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c r="AA887" s="25"/>
      <x:c r="AB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c r="AA888" s="25"/>
      <x:c r="AB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c r="AA889" s="25"/>
      <x:c r="AB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c r="AA890" s="25"/>
      <x:c r="AB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c r="AA891" s="25"/>
      <x:c r="AB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c r="AA892" s="25"/>
      <x:c r="AB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c r="AA893" s="25"/>
      <x:c r="AB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c r="AA894" s="25"/>
      <x:c r="AB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c r="AA895" s="25"/>
      <x:c r="AB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c r="AA896" s="25"/>
      <x:c r="AB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c r="AA897" s="25"/>
      <x:c r="AB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c r="AA898" s="25"/>
      <x:c r="AB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c r="AA899" s="25"/>
      <x:c r="AB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c r="AA900" s="25"/>
      <x:c r="AB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c r="AA901" s="25"/>
      <x:c r="AB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c r="AA902" s="25"/>
      <x:c r="AB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c r="AA903" s="25"/>
      <x:c r="AB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c r="AA904" s="25"/>
      <x:c r="AB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c r="AA905" s="25"/>
      <x:c r="AB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c r="AA906" s="25"/>
      <x:c r="AB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c r="AA907" s="25"/>
      <x:c r="AB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c r="AA908" s="25"/>
      <x:c r="AB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c r="AA909" s="25"/>
      <x:c r="AB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c r="AA910" s="25"/>
      <x:c r="AB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c r="AA911" s="25"/>
      <x:c r="AB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c r="AA912" s="25"/>
      <x:c r="AB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c r="AA913" s="25"/>
      <x:c r="AB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c r="AA914" s="25"/>
      <x:c r="AB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c r="AA915" s="25"/>
      <x:c r="AB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c r="AA916" s="25"/>
      <x:c r="AB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c r="AA917" s="25"/>
      <x:c r="AB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c r="AA918" s="25"/>
      <x:c r="AB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c r="AA919" s="25"/>
      <x:c r="AB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c r="AA920" s="25"/>
      <x:c r="AB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c r="AA921" s="25"/>
      <x:c r="AB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c r="AA922" s="25"/>
      <x:c r="AB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c r="AA923" s="25"/>
      <x:c r="AB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c r="AA924" s="25"/>
      <x:c r="AB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c r="AA925" s="25"/>
      <x:c r="AB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c r="AA926" s="25"/>
      <x:c r="AB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c r="AA927" s="25"/>
      <x:c r="AB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c r="AA928" s="25"/>
      <x:c r="AB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c r="AA929" s="25"/>
      <x:c r="AB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c r="AA930" s="25"/>
      <x:c r="AB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c r="AA931" s="25"/>
      <x:c r="AB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c r="AA932" s="25"/>
      <x:c r="AB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c r="AA933" s="25"/>
      <x:c r="AB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c r="AA934" s="25"/>
      <x:c r="AB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c r="AA935" s="25"/>
      <x:c r="AB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c r="AA936" s="25"/>
      <x:c r="AB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c r="AA937" s="25"/>
      <x:c r="AB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c r="AA938" s="25"/>
      <x:c r="AB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c r="AA939" s="25"/>
      <x:c r="AB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c r="AA940" s="25"/>
      <x:c r="AB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c r="AA941" s="25"/>
      <x:c r="AB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c r="AA942" s="25"/>
      <x:c r="AB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c r="AA943" s="25"/>
      <x:c r="AB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c r="AA944" s="25"/>
      <x:c r="AB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c r="AA945" s="25"/>
      <x:c r="AB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c r="AA946" s="25"/>
      <x:c r="AB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c r="AA947" s="25"/>
      <x:c r="AB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c r="AA948" s="25"/>
      <x:c r="AB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c r="AA949" s="25"/>
      <x:c r="AB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c r="AA950" s="25"/>
      <x:c r="AB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c r="AA951" s="25"/>
      <x:c r="AB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c r="AA952" s="25"/>
      <x:c r="AB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c r="AA953" s="25"/>
      <x:c r="AB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c r="AA954" s="25"/>
      <x:c r="AB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c r="AA955" s="25"/>
      <x:c r="AB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c r="AA956" s="25"/>
      <x:c r="AB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c r="AA957" s="25"/>
      <x:c r="AB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c r="AA958" s="25"/>
      <x:c r="AB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c r="AA959" s="25"/>
      <x:c r="AB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c r="AA960" s="25"/>
      <x:c r="AB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c r="AA961" s="25"/>
      <x:c r="AB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c r="AA962" s="25"/>
      <x:c r="AB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c r="AA963" s="25"/>
      <x:c r="AB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c r="AA964" s="25"/>
      <x:c r="AB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c r="AA965" s="25"/>
      <x:c r="AB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c r="AA966" s="25"/>
      <x:c r="AB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c r="AA967" s="25"/>
      <x:c r="AB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c r="AA968" s="25"/>
      <x:c r="AB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c r="AA969" s="25"/>
      <x:c r="AB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c r="AA970" s="25"/>
      <x:c r="AB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c r="AA971" s="25"/>
      <x:c r="AB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c r="AA972" s="25"/>
      <x:c r="AB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c r="AA973" s="25"/>
      <x:c r="AB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c r="AA974" s="25"/>
      <x:c r="AB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c r="AA975" s="25"/>
      <x:c r="AB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c r="AA976" s="25"/>
      <x:c r="AB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c r="AA977" s="25"/>
      <x:c r="AB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c r="AA978" s="25"/>
      <x:c r="AB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c r="AA979" s="25"/>
      <x:c r="AB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c r="AA980" s="25"/>
      <x:c r="AB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c r="AA981" s="25"/>
      <x:c r="AB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c r="AA982" s="25"/>
      <x:c r="AB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c r="AA983" s="25"/>
      <x:c r="AB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c r="AA984" s="25"/>
      <x:c r="AB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c r="AA985" s="25"/>
      <x:c r="AB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c r="AA986" s="25"/>
      <x:c r="AB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c r="AA987" s="25"/>
      <x:c r="AB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c r="AA988" s="25"/>
      <x:c r="AB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c r="AA989" s="25"/>
      <x:c r="AB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c r="AA990" s="25"/>
      <x:c r="AB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c r="AA991" s="25"/>
      <x:c r="AB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c r="AA992" s="25"/>
      <x:c r="AB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c r="AA993" s="25"/>
      <x:c r="AB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c r="AA994" s="25"/>
      <x:c r="AB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c r="AA995" s="25"/>
      <x:c r="AB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c r="AA996" s="25"/>
      <x:c r="AB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c r="AA997" s="25"/>
      <x:c r="AB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c r="AA998" s="25"/>
      <x:c r="AB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c r="AA999" s="25"/>
      <x:c r="AB999" s="25"/>
    </x:row>
  </x:sheetData>
  <x:pageMargins left="0.7" right="0.7" top="0.75" bottom="0.75" header="0.3" footer="0.3"/>
  <x:tableParts count="1">
    <x:tablePart xmlns:r="http://schemas.openxmlformats.org/officeDocument/2006/relationships" r:id="Rfd83559f1f3b4907"/>
  </x:tableParts>
</x:worksheet>
</file>

<file path=xl/worksheets/sheet35.xml><?xml version="1.0" encoding="utf-8"?>
<x:worksheet xmlns:x="http://schemas.openxmlformats.org/spreadsheetml/2006/main">
  <x:sheetPr>
    <x:tabColor rgb="FFF4CCCC"/>
  </x:sheetPr>
  <x:sheetFormatPr defaultColWidth="12.630000114440918" defaultRowHeight="15.75"/>
  <x:sheetData>
    <x:row r="1">
      <x:c r="A1" s="1" t="s">
        <x:v>2249</x:v>
      </x:c>
      <x:c r="B1" s="1" t="s">
        <x:v>2181</x:v>
      </x:c>
      <x:c r="C1" s="1" t="s">
        <x:v>2250</x:v>
      </x:c>
      <x:c r="D1" s="1" t="s">
        <x:v>2251</x:v>
      </x:c>
      <x:c r="E1" s="1" t="s">
        <x:v>2252</x:v>
      </x:c>
      <x:c r="F1" s="1" t="s">
        <x:v>2253</x:v>
      </x:c>
      <x:c r="G1" s="1" t="s">
        <x:v>2254</x:v>
      </x:c>
      <x:c r="H1" s="1" t="s">
        <x:v>2222</x:v>
      </x:c>
      <x:c r="I1" s="1" t="s">
        <x:v>2255</x:v>
      </x:c>
      <x:c r="J1" s="1" t="s">
        <x:v>2256</x:v>
      </x:c>
      <x:c r="K1" s="1" t="s">
        <x:v>2223</x:v>
      </x:c>
      <x:c r="L1" s="1" t="s">
        <x:v>2224</x:v>
      </x:c>
      <x:c r="M1" s="1" t="s">
        <x:v>2225</x:v>
      </x:c>
      <x:c r="N1" s="1" t="s">
        <x:v>2226</x:v>
      </x:c>
      <x:c r="O1" s="1" t="s">
        <x:v>2227</x:v>
      </x:c>
      <x:c r="P1" s="1" t="s">
        <x:v>2228</x:v>
      </x:c>
      <x:c r="Q1" s="1" t="s">
        <x:v>2257</x:v>
      </x:c>
      <x:c r="R1" s="1" t="s">
        <x:v>2258</x:v>
      </x:c>
      <x:c r="S1" s="1" t="s">
        <x:v>2231</x:v>
      </x:c>
      <x:c r="T1" s="1" t="s">
        <x:v>2259</x:v>
      </x:c>
      <x:c r="U1" s="1" t="s">
        <x:v>2260</x:v>
      </x:c>
      <x:c r="V1" s="1" t="s">
        <x:v>2261</x:v>
      </x:c>
      <x:c r="W1" s="1" t="s">
        <x:v>2262</x:v>
      </x:c>
      <x:c r="X1" s="1" t="s">
        <x:v>2229</x:v>
      </x:c>
      <x:c r="Y1" s="1" t="s">
        <x:v>2232</x:v>
      </x:c>
      <x:c r="Z1" s="1" t="s">
        <x:v>2263</x:v>
      </x:c>
    </x:row>
    <x:row r="2">
      <x:c r="A2" s="1" t="s">
        <x:v>2264</x:v>
      </x:c>
      <x:c r="B2" s="1" t="s">
        <x:v>2265</x:v>
      </x:c>
      <x:c r="C2" s="1" t="s">
        <x:v>2266</x:v>
      </x:c>
      <x:c r="D2" s="1" t="s">
        <x:v>2266</x:v>
      </x:c>
      <x:c r="E2" s="1" t="s">
        <x:v>2267</x:v>
      </x:c>
      <x:c r="F2" s="1" t="s">
        <x:v>2267</x:v>
      </x:c>
      <x:c r="G2" s="1" t="s">
        <x:v>2266</x:v>
      </x:c>
      <x:c r="I2" s="1" t="s">
        <x:v>2266</x:v>
      </x:c>
      <x:c r="J2" s="1" t="s">
        <x:v>2268</x:v>
      </x:c>
      <x:c r="K2" s="1" t="s">
        <x:v>2269</x:v>
      </x:c>
      <x:c r="L2" s="1" t="s">
        <x:v>2267</x:v>
      </x:c>
      <x:c r="M2" s="1" t="s">
        <x:v>2269</x:v>
      </x:c>
      <x:c r="N2" s="1" t="s">
        <x:v>2268</x:v>
      </x:c>
      <x:c r="O2" s="1" t="s">
        <x:v>2266</x:v>
      </x:c>
      <x:c r="P2" s="1" t="s">
        <x:v>2270</x:v>
      </x:c>
      <x:c r="Q2" s="1" t="s">
        <x:v>2270</x:v>
      </x:c>
      <x:c r="R2" s="1" t="s">
        <x:v>2270</x:v>
      </x:c>
      <x:c r="S2" s="1" t="s">
        <x:v>2269</x:v>
      </x:c>
      <x:c r="T2" s="1" t="s">
        <x:v>2269</x:v>
      </x:c>
      <x:c r="U2" s="1" t="s">
        <x:v>2266</x:v>
      </x:c>
      <x:c r="V2" s="1" t="s">
        <x:v>2269</x:v>
      </x:c>
      <x:c r="W2" s="1" t="s">
        <x:v>2270</x:v>
      </x:c>
      <x:c r="X2" s="1" t="s">
        <x:v>2270</x:v>
      </x:c>
      <x:c r="Y2" s="1" t="s">
        <x:v>2266</x:v>
      </x:c>
      <x:c r="Z2" s="1" t="s">
        <x:v>2270</x:v>
      </x:c>
    </x:row>
    <x:row r="3">
      <x:c r="A3" s="1" t="s">
        <x:v>2271</x:v>
      </x:c>
      <x:c r="B3" s="1" t="s">
        <x:v>2272</x:v>
      </x:c>
      <x:c r="C3" s="1" t="s">
        <x:v>2273</x:v>
      </x:c>
      <x:c r="D3" s="1" t="s">
        <x:v>2274</x:v>
      </x:c>
      <x:c r="E3" s="1" t="s">
        <x:v>2275</x:v>
      </x:c>
      <x:c r="F3" s="1" t="s">
        <x:v>2276</x:v>
      </x:c>
      <x:c r="G3" s="1" t="s">
        <x:v>2277</x:v>
      </x:c>
      <x:c r="I3" s="1" t="s">
        <x:v>2278</x:v>
      </x:c>
      <x:c r="J3" s="1">
        <x:v>20.0</x:v>
      </x:c>
      <x:c r="K3" s="1" t="s">
        <x:v>656</x:v>
      </x:c>
      <x:c r="L3" s="1" t="s">
        <x:v>2279</x:v>
      </x:c>
      <x:c r="M3" s="1" t="s">
        <x:v>656</x:v>
      </x:c>
      <x:c r="N3" s="1">
        <x:v>2.0</x:v>
      </x:c>
      <x:c r="O3" s="1" t="s">
        <x:v>2280</x:v>
      </x:c>
      <x:c r="P3" s="1" t="s">
        <x:v>2281</x:v>
      </x:c>
      <x:c r="Q3" s="1" t="s">
        <x:v>2282</x:v>
      </x:c>
      <x:c r="R3" s="1" t="s">
        <x:v>2283</x:v>
      </x:c>
      <x:c r="S3" s="1" t="s">
        <x:v>656</x:v>
      </x:c>
      <x:c r="T3" s="1" t="s">
        <x:v>2241</x:v>
      </x:c>
      <x:c r="U3" s="1" t="s">
        <x:v>2284</x:v>
      </x:c>
      <x:c r="V3" s="1" t="s">
        <x:v>656</x:v>
      </x:c>
      <x:c r="W3" s="1" t="s">
        <x:v>2285</x:v>
      </x:c>
      <x:c r="X3" s="1" t="s">
        <x:v>2286</x:v>
      </x:c>
      <x:c r="Y3" s="1" t="s">
        <x:v>2287</x:v>
      </x:c>
      <x:c r="Z3" s="1" t="s">
        <x:v>2288</x:v>
      </x:c>
    </x:row>
    <x:row r="5">
      <x:c r="A5" s="5"/>
      <x:c r="B5" s="5"/>
      <x:c r="C5" s="5"/>
    </x:row>
  </x:sheetData>
  <x:pageMargins left="0.7" right="0.7" top="0.75" bottom="0.75" header="0.3" footer="0.3"/>
</x:worksheet>
</file>

<file path=xl/worksheets/sheet36.xml><?xml version="1.0" encoding="utf-8"?>
<x:worksheet xmlns:x="http://schemas.openxmlformats.org/spreadsheetml/2006/main">
  <x:sheetPr>
    <x:tabColor rgb="FFF4CCCC"/>
  </x:sheetPr>
  <x:sheetFormatPr defaultColWidth="12.630000114440918" defaultRowHeight="15.75"/>
  <x:sheetData>
    <x:row r="1">
      <x:c r="A1" s="1" t="s">
        <x:v>2289</x:v>
      </x:c>
      <x:c r="B1" s="1" t="s">
        <x:v>2181</x:v>
      </x:c>
      <x:c r="C1" s="1" t="s">
        <x:v>2179</x:v>
      </x:c>
      <x:c r="D1" s="1" t="s">
        <x:v>2290</x:v>
      </x:c>
      <x:c r="E1" s="1" t="s">
        <x:v>135</x:v>
      </x:c>
      <x:c r="F1" s="1" t="s">
        <x:v>2291</x:v>
      </x:c>
      <x:c r="G1" s="1" t="s">
        <x:v>2292</x:v>
      </x:c>
      <x:c r="H1" s="1" t="s">
        <x:v>2293</x:v>
      </x:c>
      <x:c r="I1" s="1" t="s">
        <x:v>2294</x:v>
      </x:c>
      <x:c r="J1" s="1" t="s">
        <x:v>2295</x:v>
      </x:c>
      <x:c r="K1" s="1" t="s">
        <x:v>2296</x:v>
      </x:c>
      <x:c r="L1" s="1" t="s">
        <x:v>2297</x:v>
      </x:c>
      <x:c r="M1" s="1" t="s">
        <x:v>2298</x:v>
      </x:c>
      <x:c r="N1" s="1" t="s">
        <x:v>2222</x:v>
      </x:c>
      <x:c r="O1" s="1" t="s">
        <x:v>2299</x:v>
      </x:c>
      <x:c r="P1" s="1" t="s">
        <x:v>2256</x:v>
      </x:c>
      <x:c r="Q1" s="1" t="s">
        <x:v>2300</x:v>
      </x:c>
      <x:c r="R1" s="1" t="s">
        <x:v>2301</x:v>
      </x:c>
      <x:c r="S1" s="1" t="s">
        <x:v>2302</x:v>
      </x:c>
      <x:c r="T1" s="1" t="s">
        <x:v>2303</x:v>
      </x:c>
      <x:c r="U1" s="1" t="s">
        <x:v>2304</x:v>
      </x:c>
      <x:c r="V1" s="1" t="s">
        <x:v>2305</x:v>
      </x:c>
      <x:c r="W1" s="1" t="s">
        <x:v>2306</x:v>
      </x:c>
      <x:c r="X1" s="1" t="s">
        <x:v>2307</x:v>
      </x:c>
      <x:c r="Y1" s="1" t="s">
        <x:v>2308</x:v>
      </x:c>
      <x:c r="Z1" s="1" t="s">
        <x:v>729</x:v>
      </x:c>
      <x:c r="AA1" s="1" t="s">
        <x:v>2309</x:v>
      </x:c>
      <x:c r="AB1" s="1" t="s">
        <x:v>137</x:v>
      </x:c>
    </x:row>
    <x:row r="2">
      <x:c r="A2" s="1" t="s">
        <x:v>2310</x:v>
      </x:c>
      <x:c r="B2" s="1" t="s">
        <x:v>2311</x:v>
      </x:c>
      <x:c r="C2" s="1" t="s">
        <x:v>2312</x:v>
      </x:c>
      <x:c r="D2" s="1" t="s">
        <x:v>2313</x:v>
      </x:c>
      <x:c r="E2" s="1" t="s">
        <x:v>176</x:v>
      </x:c>
      <x:c r="F2" s="1" t="s">
        <x:v>2314</x:v>
      </x:c>
      <x:c r="G2" s="35">
        <x:v>46402.375</x:v>
      </x:c>
      <x:c r="H2" s="35">
        <x:v>46402.458333333336</x:v>
      </x:c>
      <x:c r="I2" s="1" t="s">
        <x:v>2315</x:v>
      </x:c>
      <x:c r="J2" s="1"/>
      <x:c r="K2" s="1" t="s">
        <x:v>2316</x:v>
      </x:c>
      <x:c r="L2" s="1" t="s">
        <x:v>2317</x:v>
      </x:c>
      <x:c r="O2" s="1"/>
      <x:c r="P2" s="1">
        <x:v>20.0</x:v>
      </x:c>
      <x:c r="Q2" s="1">
        <x:v>5.0</x:v>
      </x:c>
      <x:c r="R2" s="1">
        <x:v>0.0</x:v>
      </x:c>
      <x:c r="S2" s="1" t="s">
        <x:v>656</x:v>
      </x:c>
      <x:c r="T2" s="36">
        <x:v>46357.0</x:v>
      </x:c>
      <x:c r="U2" s="36">
        <x:v>46401.0</x:v>
      </x:c>
      <x:c r="V2" s="1" t="s">
        <x:v>2241</x:v>
      </x:c>
      <x:c r="W2" s="1" t="s">
        <x:v>2241</x:v>
      </x:c>
      <x:c r="X2" s="1"/>
      <x:c r="Y2" s="1"/>
      <x:c r="Z2" s="1"/>
      <x:c r="AA2" s="1"/>
    </x:row>
    <x:row r="3">
      <x:c r="A3" s="5"/>
      <x:c r="B3" s="5"/>
    </x:row>
    <x:row r="10">
      <x:c r="B10" s="35"/>
    </x:row>
    <x:row r="11">
      <x:c r="B11" s="35"/>
    </x:row>
    <x:row r="21">
      <x:c r="B21" s="36"/>
    </x:row>
    <x:row r="22">
      <x:c r="B22" s="36"/>
    </x:row>
  </x:sheetData>
  <x:pageMargins left="0.7" right="0.7" top="0.75" bottom="0.75" header="0.3" footer="0.3"/>
</x:worksheet>
</file>

<file path=xl/worksheets/sheet37.xml><?xml version="1.0" encoding="utf-8"?>
<x:worksheet xmlns:x="http://schemas.openxmlformats.org/spreadsheetml/2006/main">
  <x:sheetPr>
    <x:tabColor rgb="FFF4CCCC"/>
  </x:sheetPr>
  <x:sheetFormatPr defaultColWidth="12.630000114440918" defaultRowHeight="15.75"/>
  <x:sheetData>
    <x:row r="1">
      <x:c r="A1" s="5" t="s">
        <x:v>2318</x:v>
      </x:c>
      <x:c r="B1" s="1" t="s">
        <x:v>2181</x:v>
      </x:c>
      <x:c r="C1" s="1" t="s">
        <x:v>2319</x:v>
      </x:c>
      <x:c r="D1" s="1" t="s">
        <x:v>2320</x:v>
      </x:c>
      <x:c r="E1" s="1" t="s">
        <x:v>2321</x:v>
      </x:c>
      <x:c r="F1" s="1" t="s">
        <x:v>2322</x:v>
      </x:c>
      <x:c r="G1" s="1" t="s">
        <x:v>2323</x:v>
      </x:c>
    </x:row>
  </x:sheetData>
  <x:pageMargins left="0.7" right="0.7" top="0.75" bottom="0.75" header="0.3" footer="0.3"/>
</x:worksheet>
</file>

<file path=xl/worksheets/sheet38.xml><?xml version="1.0" encoding="utf-8"?>
<x:worksheet xmlns:x="http://schemas.openxmlformats.org/spreadsheetml/2006/main">
  <x:sheetFormatPr defaultColWidth="12.630000114440918" defaultRowHeight="15.75"/>
  <x:sheetData>
    <x:row r="1">
      <x:c r="A1" s="1" t="s">
        <x:v>2176</x:v>
      </x:c>
      <x:c r="B1" s="5" t="s">
        <x:v>2324</x:v>
      </x:c>
      <x:c r="C1" s="1" t="s">
        <x:v>414</x:v>
      </x:c>
      <x:c r="D1" s="1" t="s">
        <x:v>2325</x:v>
      </x:c>
      <x:c r="E1" s="1" t="s">
        <x:v>446</x:v>
      </x:c>
      <x:c r="F1" s="1" t="s">
        <x:v>448</x:v>
      </x:c>
      <x:c r="G1" s="1" t="s">
        <x:v>2326</x:v>
      </x:c>
      <x:c r="H1" s="1" t="s">
        <x:v>2327</x:v>
      </x:c>
      <x:c r="I1" s="1" t="s">
        <x:v>2328</x:v>
      </x:c>
      <x:c r="J1" s="1" t="s">
        <x:v>2329</x:v>
      </x:c>
      <x:c r="K1" s="1" t="s">
        <x:v>2330</x:v>
      </x:c>
      <x:c r="L1" s="1" t="s">
        <x:v>2331</x:v>
      </x:c>
    </x:row>
    <x:row r="2">
      <x:c r="A2" s="1" t="s">
        <x:v>424</x:v>
      </x:c>
      <x:c r="B2" s="1" t="s">
        <x:v>2332</x:v>
      </x:c>
      <x:c r="C2" s="1" t="s">
        <x:v>421</x:v>
      </x:c>
      <x:c r="D2" s="1">
        <x:v>1.0</x:v>
      </x:c>
      <x:c r="E2" s="1" t="s">
        <x:v>455</x:v>
      </x:c>
      <x:c r="F2" s="1" t="s">
        <x:v>2333</x:v>
      </x:c>
      <x:c r="G2" s="1"/>
      <x:c r="L2" s="1" t="s">
        <x:v>2334</x:v>
      </x:c>
    </x:row>
    <x:row r="3">
      <x:c r="A3" s="1" t="s">
        <x:v>2334</x:v>
      </x:c>
      <x:c r="B3" s="1" t="s">
        <x:v>2335</x:v>
      </x:c>
      <x:c r="C3" s="1" t="s">
        <x:v>421</x:v>
      </x:c>
      <x:c r="D3" s="1">
        <x:v>2.0</x:v>
      </x:c>
      <x:c r="E3" s="1" t="s">
        <x:v>457</x:v>
      </x:c>
      <x:c r="F3" s="22">
        <x:v>46082.0</x:v>
      </x:c>
      <x:c r="G3" s="22"/>
      <x:c r="L3" s="1" t="s">
        <x:v>2336</x:v>
      </x:c>
    </x:row>
    <x:row r="4">
      <x:c r="A4" s="1" t="s">
        <x:v>2336</x:v>
      </x:c>
      <x:c r="B4" s="1" t="s">
        <x:v>2337</x:v>
      </x:c>
      <x:c r="C4" s="1" t="s">
        <x:v>421</x:v>
      </x:c>
      <x:c r="D4" s="1">
        <x:v>3.0</x:v>
      </x:c>
      <x:c r="E4" s="1" t="s">
        <x:v>459</x:v>
      </x:c>
      <x:c r="F4" s="22">
        <x:v>46176.0</x:v>
      </x:c>
      <x:c r="G4" s="22"/>
      <x:c r="L4" s="1" t="s">
        <x:v>2338</x:v>
      </x:c>
    </x:row>
    <x:row r="5">
      <x:c r="A5" s="1" t="s">
        <x:v>2338</x:v>
      </x:c>
      <x:c r="B5" s="1" t="s">
        <x:v>2339</x:v>
      </x:c>
      <x:c r="C5" s="1" t="s">
        <x:v>421</x:v>
      </x:c>
      <x:c r="D5" s="1">
        <x:v>4.0</x:v>
      </x:c>
      <x:c r="E5" s="1" t="s">
        <x:v>461</x:v>
      </x:c>
      <x:c r="F5" s="22">
        <x:v>46362.0</x:v>
      </x:c>
      <x:c r="G5" s="22"/>
    </x:row>
  </x:sheetData>
  <x:pageMargins left="0.7" right="0.7" top="0.75" bottom="0.75" header="0.3" footer="0.3"/>
</x:worksheet>
</file>

<file path=xl/worksheets/sheet39.xml><?xml version="1.0" encoding="utf-8"?>
<x:worksheet xmlns:x="http://schemas.openxmlformats.org/spreadsheetml/2006/main">
  <x:sheetFormatPr defaultColWidth="12.630000114440918" defaultRowHeight="15.75"/>
  <x:sheetData>
    <x:row r="1">
      <x:c r="A1" s="1" t="s">
        <x:v>2340</x:v>
      </x:c>
      <x:c r="B1" s="1" t="s">
        <x:v>2341</x:v>
      </x:c>
      <x:c r="C1" s="1" t="s">
        <x:v>414</x:v>
      </x:c>
      <x:c r="D1" s="1" t="s">
        <x:v>2176</x:v>
      </x:c>
      <x:c r="E1" s="1" t="s">
        <x:v>2342</x:v>
      </x:c>
      <x:c r="F1" s="1" t="s">
        <x:v>2343</x:v>
      </x:c>
      <x:c r="G1" s="1" t="s">
        <x:v>2344</x:v>
      </x:c>
      <x:c r="H1" s="1" t="s">
        <x:v>2345</x:v>
      </x:c>
      <x:c r="I1" s="1" t="s">
        <x:v>2346</x:v>
      </x:c>
      <x:c r="J1" s="1" t="s">
        <x:v>2347</x:v>
      </x:c>
      <x:c r="K1" s="1" t="s">
        <x:v>2348</x:v>
      </x:c>
      <x:c r="L1" s="1" t="s">
        <x:v>2349</x:v>
      </x:c>
      <x:c r="M1" s="1" t="s">
        <x:v>2350</x:v>
      </x:c>
      <x:c r="N1" s="1" t="s">
        <x:v>420</x:v>
      </x:c>
    </x:row>
    <x:row r="2">
      <x:c r="A2" s="1"/>
      <x:c r="B2" s="1" t="s">
        <x:v>2351</x:v>
      </x:c>
      <x:c r="K2" s="1" t="s">
        <x:v>2352</x:v>
      </x:c>
      <x:c r="L2" s="1" t="s">
        <x:v>2353</x:v>
      </x:c>
    </x:row>
    <x:row r="3">
      <x:c r="A3" s="1"/>
      <x:c r="B3" s="1" t="s">
        <x:v>2354</x:v>
      </x:c>
    </x:row>
    <x:row r="4">
      <x:c r="A4" s="1"/>
      <x:c r="B4" s="1" t="s">
        <x:v>2355</x:v>
      </x:c>
    </x:row>
    <x:row r="5">
      <x:c r="A5" s="1"/>
      <x:c r="B5" s="1" t="s">
        <x:v>2356</x:v>
      </x:c>
    </x:row>
    <x:row r="6">
      <x:c r="A6" s="1"/>
      <x:c r="B6" s="1" t="s">
        <x:v>2357</x:v>
      </x:c>
    </x:row>
    <x:row r="7">
      <x:c r="A7" s="1"/>
      <x:c r="B7" s="1" t="s">
        <x:v>2358</x:v>
      </x:c>
    </x:row>
  </x:sheetData>
  <x:pageMargins left="0.7" right="0.7" top="0.75" bottom="0.75" header="0.3" footer="0.3"/>
</x:worksheet>
</file>

<file path=xl/worksheets/sheet40.xml><?xml version="1.0" encoding="utf-8"?>
<x:worksheet xmlns:x="http://schemas.openxmlformats.org/spreadsheetml/2006/main">
  <x:sheetPr>
    <x:tabColor rgb="FFD9D2E9"/>
  </x:sheetPr>
  <x:sheetFormatPr defaultColWidth="12.630000114440918" defaultRowHeight="15.75"/>
  <x:sheetData>
    <x:row r="1">
      <x:c r="A1" s="1" t="s">
        <x:v>2359</x:v>
      </x:c>
      <x:c r="B1" s="1" t="s">
        <x:v>2222</x:v>
      </x:c>
      <x:c r="C1" s="1" t="s">
        <x:v>2181</x:v>
      </x:c>
      <x:c r="D1" s="1" t="s">
        <x:v>2360</x:v>
      </x:c>
      <x:c r="E1" s="1" t="s">
        <x:v>2361</x:v>
      </x:c>
      <x:c r="F1" s="1" t="s">
        <x:v>2362</x:v>
      </x:c>
      <x:c r="G1" s="1" t="s">
        <x:v>2363</x:v>
      </x:c>
      <x:c r="H1" s="1" t="s">
        <x:v>2364</x:v>
      </x:c>
      <x:c r="I1" s="1" t="s">
        <x:v>2365</x:v>
      </x:c>
      <x:c r="J1" s="1" t="s">
        <x:v>2366</x:v>
      </x:c>
      <x:c r="K1" s="1" t="s">
        <x:v>2308</x:v>
      </x:c>
      <x:c r="L1" s="1" t="s">
        <x:v>137</x:v>
      </x:c>
    </x:row>
    <x:row r="2">
      <x:c r="A2" s="1" t="s">
        <x:v>2367</x:v>
      </x:c>
      <x:c r="H2" s="1" t="s">
        <x:v>175</x:v>
      </x:c>
      <x:c r="K2" s="1">
        <x:v>80.0</x:v>
      </x:c>
    </x:row>
  </x:sheetData>
  <x:pageMargins left="0.7" right="0.7" top="0.75" bottom="0.75" header="0.3" footer="0.3"/>
</x:worksheet>
</file>

<file path=xl/worksheets/sheet41.xml><?xml version="1.0" encoding="utf-8"?>
<x:worksheet xmlns:x="http://schemas.openxmlformats.org/spreadsheetml/2006/main">
  <x:sheetPr>
    <x:tabColor rgb="FFFFF2CC"/>
  </x:sheetPr>
  <x:sheetViews>
    <x:sheetView showGridLines="0" workbookViewId="0"/>
  </x:sheetViews>
  <x:sheetFormatPr defaultColWidth="12.630000114440918" defaultRowHeight="15.75"/>
  <x:cols>
    <x:col min="1" max="1" width="28" hidden="0" customWidth="1"/>
    <x:col min="2" max="2" width="25" hidden="0" customWidth="1"/>
    <x:col min="3" max="3" width="15" hidden="0" customWidth="1"/>
    <x:col min="4" max="4" width="34" hidden="0" customWidth="1"/>
    <x:col min="5" max="5" width="13" hidden="0" customWidth="1"/>
    <x:col min="6" max="6" width="13" hidden="0" customWidth="1"/>
    <x:col min="7" max="7" width="34" hidden="0" customWidth="1"/>
    <x:col min="8" max="8" width="18.1299991607666" hidden="0" customWidth="1"/>
    <x:col min="9" max="9" width="12.380000114440918" hidden="0" customWidth="1"/>
    <x:col min="10" max="10" width="12" hidden="0" customWidth="1"/>
    <x:col min="11" max="11" width="12.75" hidden="0" customWidth="1"/>
    <x:col min="12" max="12" width="34" hidden="0" customWidth="1"/>
    <x:col min="13" max="13" width="34" hidden="0" customWidth="1"/>
    <x:col min="14" max="14" width="13.130000114440918" hidden="0" customWidth="1"/>
    <x:col min="15" max="15" width="12" hidden="0" customWidth="1"/>
    <x:col min="16" max="16" width="24.3799991607666" hidden="0" customWidth="1"/>
    <x:col min="17" max="17" width="27.1299991607666" hidden="0" customWidth="1"/>
    <x:col min="18" max="18" width="16.8799991607666" hidden="0" customWidth="1"/>
    <x:col min="19" max="19" width="17.3799991607666" hidden="0" customWidth="1"/>
    <x:col min="20" max="20" width="14.380000114440918" hidden="0" customWidth="1"/>
    <x:col min="21" max="21" width="12" hidden="0" customWidth="1"/>
    <x:col min="22" max="22" width="12" hidden="0" customWidth="1"/>
    <x:col min="23" max="23" width="12" hidden="0" customWidth="1"/>
    <x:col min="24" max="24" width="12" hidden="0" customWidth="1"/>
    <x:col min="25" max="25" width="14.130000114440918" hidden="0" customWidth="1"/>
    <x:col min="26" max="26" width="34" hidden="0" customWidth="1"/>
    <x:col min="27" max="27" width="14" hidden="0" customWidth="1"/>
  </x:cols>
  <x:sheetData>
    <x:row r="1" ht="15.75" hidden="0" customHeight="1">
      <x:c r="A1" s="58" t="str">
        <x:v>ItemID</x:v>
      </x:c>
      <x:c r="B1" s="58" t="str">
        <x:v>Item Name</x:v>
      </x:c>
      <x:c r="C1" s="58" t="str">
        <x:v>FirebaseType</x:v>
      </x:c>
      <x:c r="D1" s="58" t="str">
        <x:v>TypeID</x:v>
      </x:c>
      <x:c r="E1" s="58" t="str">
        <x:v>ItemType</x:v>
      </x:c>
      <x:c r="F1" s="58" t="str">
        <x:v>CategoryID</x:v>
      </x:c>
      <x:c r="G1" s="58" t="str">
        <x:v>TagID</x:v>
      </x:c>
      <x:c r="H1" s="58" t="str">
        <x:v>SoldByRecoveryTools</x:v>
      </x:c>
      <x:c r="I1" s="58" t="str">
        <x:v>IsShopProduct</x:v>
      </x:c>
      <x:c r="J1" s="58" t="str">
        <x:v>Supplier Type</x:v>
      </x:c>
      <x:c r="K1" s="58" t="str">
        <x:v>Website Visible</x:v>
      </x:c>
      <x:c r="L1" s="58" t="str">
        <x:v>Short Description</x:v>
      </x:c>
      <x:c r="M1" s="58" t="str">
        <x:v>Long Description</x:v>
      </x:c>
      <x:c r="N1" s="58" t="str">
        <x:v>Unlocks access</x:v>
      </x:c>
      <x:c r="O1" s="58" t="str">
        <x:v>Access Type</x:v>
      </x:c>
      <x:c r="P1" s="58" t="str">
        <x:v>Related PlanID</x:v>
      </x:c>
      <x:c r="Q1" s="58" t="str">
        <x:v>Related PlanCourseDetailID</x:v>
      </x:c>
      <x:c r="R1" s="58" t="str">
        <x:v>Related WorkshopID</x:v>
      </x:c>
      <x:c r="S1" s="58" t="str">
        <x:v>Access Code Eligible</x:v>
      </x:c>
      <x:c r="T1" s="58" t="str">
        <x:v>inventoryTracked</x:v>
      </x:c>
      <x:c r="U1" s="58" t="str">
        <x:v>StockStatus</x:v>
      </x:c>
      <x:c r="V1" s="58" t="str">
        <x:v>createdAt</x:v>
      </x:c>
      <x:c r="W1" s="58" t="str">
        <x:v>updatedAt</x:v>
      </x:c>
      <x:c r="X1" s="58" t="str">
        <x:v>References</x:v>
      </x:c>
      <x:c r="Y1" s="58" t="str">
        <x:v>Reference Status</x:v>
      </x:c>
      <x:c r="Z1" s="58" t="str">
        <x:v>Notes</x:v>
      </x:c>
      <x:c r="AA1" s="58" t="str">
        <x:v>Validation Status</x:v>
      </x:c>
    </x:row>
    <x:row r="2" ht="15.75" hidden="0" customHeight="1">
      <x:c r="A2" s="57" t="str">
        <x:v>ITEM-EPSOM-SALT</x:v>
      </x:c>
      <x:c r="B2" s="57" t="str">
        <x:v>Epsom Salts</x:v>
      </x:c>
      <x:c r="C2" s="57" t="str">
        <x:v>tool</x:v>
      </x:c>
      <x:c r="D2" s="57" t="str">
        <x:v>TYPE-ITEM-TOOL</x:v>
      </x:c>
      <x:c r="E2" s="57" t="str">
        <x:v>Physical Product</x:v>
      </x:c>
      <x:c r="F2" s="57" t="str">
        <x:v>CAT-TREAT</x:v>
      </x:c>
      <x:c r="G2" s="57" t="str">
        <x:v>TAG-PAIN</x:v>
      </x:c>
      <x:c r="H2" s="57" t="str">
        <x:v>Yes</x:v>
      </x:c>
      <x:c r="I2" s="57" t="str">
        <x:v>Yes</x:v>
      </x:c>
      <x:c r="J2" s="57" t="str">
        <x:v>Recovery Tools</x:v>
      </x:c>
      <x:c r="K2" s="57" t="str">
        <x:v>Yes</x:v>
      </x:c>
      <x:c r="L2" s="57" t="str">
        <x:v>Pure magnesium sulfate recovery salts for muscle relaxation and recovery.</x:v>
      </x:c>
      <x:c r="M2" s="57" t="str">
        <x:v>Pure magnesium sulfate recovery salts for muscle relaxation and recovery.</x:v>
      </x:c>
      <x:c r="N2" s="57" t="str">
        <x:v>Yes</x:v>
      </x:c>
      <x:c r="O2" s="57" t="str">
        <x:v>Course</x:v>
      </x:c>
      <x:c r="P2" s="57" t="str">
        <x:v>PLAN-EPSOM-SOAKS</x:v>
      </x:c>
      <x:c r="Q2" s="57" t="str">
        <x:v>COURSE-EPSOM-SOAKS</x:v>
      </x:c>
      <x:c r="R2" s="57"/>
      <x:c r="S2" s="57" t="str">
        <x:v>Yes</x:v>
      </x:c>
      <x:c r="T2" s="57" t="str">
        <x:v>Yes</x:v>
      </x:c>
      <x:c r="U2" s="57"/>
      <x:c r="V2" s="57"/>
      <x:c r="W2" s="57"/>
      <x:c r="X2" s="57"/>
      <x:c r="Y2" s="57"/>
      <x:c r="Z2" s="57" t="str">
        <x:v>Physical product unlocks related recovery course.</x:v>
      </x:c>
      <x:c r="AA2" s="57" t="str">
        <x:v>OK</x:v>
      </x:c>
    </x:row>
    <x:row r="3" ht="15.75" hidden="0" customHeight="1">
      <x:c r="A3" s="57" t="str">
        <x:v>ITEM-MCT-BALM-01</x:v>
      </x:c>
      <x:c r="B3" s="57" t="str">
        <x:v>MCT Recovery Balm 50g</x:v>
      </x:c>
      <x:c r="C3" s="57" t="str">
        <x:v>tool</x:v>
      </x:c>
      <x:c r="D3" s="57" t="str">
        <x:v>TYPE-ITEM-TOOL</x:v>
      </x:c>
      <x:c r="E3" s="57" t="str">
        <x:v>Physical Product</x:v>
      </x:c>
      <x:c r="F3" s="57" t="str">
        <x:v>CAT-TREAT</x:v>
      </x:c>
      <x:c r="G3" s="57" t="str">
        <x:v>TAG-PAIN</x:v>
      </x:c>
      <x:c r="H3" s="57" t="str">
        <x:v>Yes</x:v>
      </x:c>
      <x:c r="I3" s="57" t="str">
        <x:v>Yes</x:v>
      </x:c>
      <x:c r="J3" s="57" t="str">
        <x:v>Recovery Tools</x:v>
      </x:c>
      <x:c r="K3" s="57" t="str">
        <x:v>Yes</x:v>
      </x:c>
      <x:c r="L3" s="57" t="str">
        <x:v>Warming recovery balm with coconut oil, camphor, magnesium, wintergreen, and eucalyptus.</x:v>
      </x:c>
      <x:c r="M3" s="57" t="str">
        <x:v>Our 50g MCT Recovery Balm combines coconut-oil with camphor, magnesium, wintergreen, and eucalyptus to deliver soothing heat, ease inflammation, and support deep muscle recovery.</x:v>
      </x:c>
      <x:c r="N3" s="57" t="str">
        <x:v>Yes</x:v>
      </x:c>
      <x:c r="O3" s="57" t="str">
        <x:v>Course</x:v>
      </x:c>
      <x:c r="P3" s="57" t="str">
        <x:v>PLAN-MCT-BALM-USE</x:v>
      </x:c>
      <x:c r="Q3" s="57" t="str">
        <x:v>COURSE-MCT-BALM-USE</x:v>
      </x:c>
      <x:c r="R3" s="57"/>
      <x:c r="S3" s="57" t="str">
        <x:v>Yes</x:v>
      </x:c>
      <x:c r="T3" s="57" t="str">
        <x:v>Yes</x:v>
      </x:c>
      <x:c r="U3" s="57"/>
      <x:c r="V3" s="57"/>
      <x:c r="W3" s="57"/>
      <x:c r="X3" s="57"/>
      <x:c r="Y3" s="57"/>
      <x:c r="Z3" s="57" t="str">
        <x:v>May also pair with trigger ball/cupping recovery routines.</x:v>
      </x:c>
      <x:c r="AA3" s="57" t="str">
        <x:v>OK</x:v>
      </x:c>
    </x:row>
    <x:row r="4" ht="15.75" hidden="0" customHeight="1">
      <x:c r="A4" s="57" t="str">
        <x:v>ITEM-CUPPING-SET</x:v>
      </x:c>
      <x:c r="B4" s="57" t="str">
        <x:v>Silicone Cupping Set</x:v>
      </x:c>
      <x:c r="C4" s="57" t="str">
        <x:v>tool</x:v>
      </x:c>
      <x:c r="D4" s="57" t="str">
        <x:v>TYPE-ITEM-TOOL</x:v>
      </x:c>
      <x:c r="E4" s="57" t="str">
        <x:v>Physical Product</x:v>
      </x:c>
      <x:c r="F4" s="57" t="str">
        <x:v>CAT-TREAT</x:v>
      </x:c>
      <x:c r="G4" s="57" t="str">
        <x:v>TAG-PAIN</x:v>
      </x:c>
      <x:c r="H4" s="57" t="str">
        <x:v>Yes</x:v>
      </x:c>
      <x:c r="I4" s="57" t="str">
        <x:v>Yes</x:v>
      </x:c>
      <x:c r="J4" s="57" t="str">
        <x:v>Recovery Tools</x:v>
      </x:c>
      <x:c r="K4" s="57" t="str">
        <x:v>Yes</x:v>
      </x:c>
      <x:c r="L4" s="57" t="str">
        <x:v>Silicone cupping set with 2 large cups, 2 small cups, hard case, and MCT balm sample.</x:v>
      </x:c>
      <x:c r="M4" s="57" t="str">
        <x:v>Experience professional-level recovery in your hands with our silicone cupping set — featuring 2 large and 2 small cups, a sturdy hard-case, and a soothing MCT balm sample for effective myofascial release wherever you are.</x:v>
      </x:c>
      <x:c r="N4" s="57" t="str">
        <x:v>Yes</x:v>
      </x:c>
      <x:c r="O4" s="57" t="str">
        <x:v>Course</x:v>
      </x:c>
      <x:c r="P4" s="57" t="str">
        <x:v>PLAN-CUPPING-BASICS</x:v>
      </x:c>
      <x:c r="Q4" s="57" t="str">
        <x:v>COURSE-CUPPING-BASICS</x:v>
      </x:c>
      <x:c r="R4" s="57"/>
      <x:c r="S4" s="57" t="str">
        <x:v>Yes</x:v>
      </x:c>
      <x:c r="T4" s="57" t="str">
        <x:v>Yes</x:v>
      </x:c>
      <x:c r="U4" s="57"/>
      <x:c r="V4" s="57"/>
      <x:c r="W4" s="57"/>
      <x:c r="X4" s="57"/>
      <x:c r="Y4" s="57"/>
      <x:c r="Z4" s="57" t="str">
        <x:v>Include safety/contraindication education in unlocked content.</x:v>
      </x:c>
      <x:c r="AA4" s="57" t="str">
        <x:v>OK</x:v>
      </x:c>
    </x:row>
    <x:row r="5" ht="15.75" hidden="0" customHeight="1">
      <x:c r="A5" s="57" t="str">
        <x:v>ITEM-TRIGGER-BALL-6CM</x:v>
      </x:c>
      <x:c r="B5" s="57" t="str">
        <x:v>Trigger Ball 6cm</x:v>
      </x:c>
      <x:c r="C5" s="57" t="str">
        <x:v>tool</x:v>
      </x:c>
      <x:c r="D5" s="57" t="str">
        <x:v>TYPE-ITEM-TOOL</x:v>
      </x:c>
      <x:c r="E5" s="57" t="str">
        <x:v>Physical Product</x:v>
      </x:c>
      <x:c r="F5" s="57" t="str">
        <x:v>CAT-ART</x:v>
      </x:c>
      <x:c r="G5" s="57" t="str">
        <x:v>TAG-PAIN</x:v>
      </x:c>
      <x:c r="H5" s="57" t="str">
        <x:v>Yes</x:v>
      </x:c>
      <x:c r="I5" s="57" t="str">
        <x:v>Yes</x:v>
      </x:c>
      <x:c r="J5" s="57" t="str">
        <x:v>Recovery Tools</x:v>
      </x:c>
      <x:c r="K5" s="57" t="str">
        <x:v>Yes</x:v>
      </x:c>
      <x:c r="L5" s="57" t="str">
        <x:v>Hard silicone trigger ball for targeted muscle release and deep tissue recovery.</x:v>
      </x:c>
      <x:c r="M5" s="57" t="str">
        <x:v>Our 6cm hard silicone trigger balls — available in black, grey, blue, purple, or green — are designed to target tight spots, release muscle tension, and support deep tissue recovery anytime, anywhere.</x:v>
      </x:c>
      <x:c r="N5" s="57" t="str">
        <x:v>Yes</x:v>
      </x:c>
      <x:c r="O5" s="57" t="str">
        <x:v>Course</x:v>
      </x:c>
      <x:c r="P5" s="57" t="str">
        <x:v>PLAN-TRIGGER-BALL-BASICS</x:v>
      </x:c>
      <x:c r="Q5" s="57" t="str">
        <x:v>COURSE-TRIGGER-BALL-BASICS</x:v>
      </x:c>
      <x:c r="R5" s="57"/>
      <x:c r="S5" s="57" t="str">
        <x:v>Yes</x:v>
      </x:c>
      <x:c r="T5" s="57" t="str">
        <x:v>Yes</x:v>
      </x:c>
      <x:c r="U5" s="57"/>
      <x:c r="V5" s="57"/>
      <x:c r="W5" s="57"/>
      <x:c r="X5" s="57"/>
      <x:c r="Y5" s="57"/>
      <x:c r="Z5" s="57" t="str">
        <x:v>Needs colour variants.</x:v>
      </x:c>
      <x:c r="AA5" s="57" t="str">
        <x:v>OK</x:v>
      </x:c>
    </x:row>
    <x:row r="6" ht="15.75" hidden="0" customHeight="1">
      <x:c r="A6" s="57" t="str">
        <x:v>ITEM-HEAT-PATCHES-6PK</x:v>
      </x:c>
      <x:c r="B6" s="57" t="str">
        <x:v>Heat Patches 6 Pack</x:v>
      </x:c>
      <x:c r="C6" s="57" t="str">
        <x:v>tool</x:v>
      </x:c>
      <x:c r="D6" s="57" t="str">
        <x:v>TYPE-ITEM-TOOL</x:v>
      </x:c>
      <x:c r="E6" s="57" t="str">
        <x:v>Physical Product</x:v>
      </x:c>
      <x:c r="F6" s="57" t="str">
        <x:v>CAT-TREAT</x:v>
      </x:c>
      <x:c r="G6" s="57" t="str">
        <x:v>TAG-PAIN</x:v>
      </x:c>
      <x:c r="H6" s="57" t="str">
        <x:v>Yes</x:v>
      </x:c>
      <x:c r="I6" s="57" t="str">
        <x:v>Yes</x:v>
      </x:c>
      <x:c r="J6" s="57" t="str">
        <x:v>Recovery Tools</x:v>
      </x:c>
      <x:c r="K6" s="57" t="str">
        <x:v>Yes</x:v>
      </x:c>
      <x:c r="L6" s="57" t="str">
        <x:v>Six air-activated heat patches providing up to 12 hours of soothing warmth.</x:v>
      </x:c>
      <x:c r="M6" s="57" t="str">
        <x:v>Six heat patches, air-activated and powered by natural iron powder. Providing up to 12 hours of soothing warmth to support muscle recovery, ease tension, and promote self-managed pain relief.</x:v>
      </x:c>
      <x:c r="N6" s="57" t="str">
        <x:v>Yes</x:v>
      </x:c>
      <x:c r="O6" s="57" t="str">
        <x:v>Course</x:v>
      </x:c>
      <x:c r="P6" s="57" t="str">
        <x:v>PLAN-HEAT-PATCHES</x:v>
      </x:c>
      <x:c r="Q6" s="57" t="str">
        <x:v>COURSE-HEAT-PATCHES</x:v>
      </x:c>
      <x:c r="R6" s="57"/>
      <x:c r="S6" s="57" t="str">
        <x:v>Yes</x:v>
      </x:c>
      <x:c r="T6" s="57" t="str">
        <x:v>Yes</x:v>
      </x:c>
      <x:c r="U6" s="57"/>
      <x:c r="V6" s="57"/>
      <x:c r="W6" s="57"/>
      <x:c r="X6" s="57"/>
      <x:c r="Y6" s="57"/>
      <x:c r="Z6" s="57" t="str">
        <x:v>Include safe use, timing, and contraindications in course.</x:v>
      </x:c>
      <x:c r="AA6" s="57" t="str">
        <x:v>OK</x:v>
      </x:c>
    </x:row>
    <x:row r="7" ht="15.75" hidden="0" customHeight="1">
      <x:c r="A7" s="57" t="str">
        <x:v>ITEM-COCNUT-OIL</x:v>
      </x:c>
      <x:c r="B7" s="57" t="str">
        <x:v>Coconut Oil</x:v>
      </x:c>
      <x:c r="C7" s="57" t="str">
        <x:v>tool</x:v>
      </x:c>
      <x:c r="D7" s="57" t="str">
        <x:v>TYPE-ITEM-TOOL</x:v>
      </x:c>
      <x:c r="E7" s="57" t="str">
        <x:v>Physical Product</x:v>
      </x:c>
      <x:c r="F7" s="57" t="str">
        <x:v>CAT-TREAT</x:v>
      </x:c>
      <x:c r="G7" s="57" t="str">
        <x:v>TAG-PAIN</x:v>
      </x:c>
      <x:c r="H7" s="57" t="str">
        <x:v>No</x:v>
      </x:c>
      <x:c r="I7" s="57" t="str">
        <x:v>No</x:v>
      </x:c>
      <x:c r="J7" s="57"/>
      <x:c r="K7" s="57" t="str">
        <x:v>No</x:v>
      </x:c>
      <x:c r="L7" s="57"/>
      <x:c r="M7" s="57"/>
      <x:c r="N7" s="57"/>
      <x:c r="O7" s="57"/>
      <x:c r="P7" s="57"/>
      <x:c r="Q7" s="57"/>
      <x:c r="R7" s="57"/>
      <x:c r="S7" s="57"/>
      <x:c r="T7" s="57" t="str">
        <x:v>No</x:v>
      </x:c>
      <x:c r="U7" s="57"/>
      <x:c r="V7" s="57"/>
      <x:c r="W7" s="57"/>
      <x:c r="X7" s="57"/>
      <x:c r="Y7" s="57"/>
      <x:c r="Z7" s="57"/>
      <x:c r="AA7" s="57" t="str">
        <x:v>OK</x:v>
      </x:c>
    </x:row>
    <x:row r="8" ht="15.75" hidden="0" customHeight="1">
      <x:c r="A8" s="57" t="str">
        <x:v>ITEM-HEAT-OIL</x:v>
      </x:c>
      <x:c r="B8" s="57" t="str">
        <x:v>Heat Oil</x:v>
      </x:c>
      <x:c r="C8" s="57" t="str">
        <x:v>tool</x:v>
      </x:c>
      <x:c r="D8" s="57" t="str">
        <x:v>TYPE-ITEM-TOOL</x:v>
      </x:c>
      <x:c r="E8" s="57" t="str">
        <x:v>Physical Product</x:v>
      </x:c>
      <x:c r="F8" s="57" t="str">
        <x:v>CAT-TREAT</x:v>
      </x:c>
      <x:c r="G8" s="57" t="str">
        <x:v>TAG-PAIN</x:v>
      </x:c>
      <x:c r="H8" s="57" t="str">
        <x:v>No</x:v>
      </x:c>
      <x:c r="I8" s="57" t="str">
        <x:v>No</x:v>
      </x:c>
      <x:c r="J8" s="57"/>
      <x:c r="K8" s="57" t="str">
        <x:v>No</x:v>
      </x:c>
      <x:c r="L8" s="57"/>
      <x:c r="M8" s="57"/>
      <x:c r="N8" s="57"/>
      <x:c r="O8" s="57"/>
      <x:c r="P8" s="57"/>
      <x:c r="Q8" s="57"/>
      <x:c r="R8" s="57"/>
      <x:c r="S8" s="57"/>
      <x:c r="T8" s="57" t="str">
        <x:v>No</x:v>
      </x:c>
      <x:c r="U8" s="57"/>
      <x:c r="V8" s="57"/>
      <x:c r="W8" s="57"/>
      <x:c r="X8" s="57"/>
      <x:c r="Y8" s="57"/>
      <x:c r="Z8" s="57"/>
      <x:c r="AA8" s="57" t="str">
        <x:v>OK</x:v>
      </x:c>
    </x:row>
    <x:row r="9" ht="15.75" hidden="0" customHeight="1">
      <x:c r="A9" s="57" t="str">
        <x:v>ITEM-HEAT-PACK</x:v>
      </x:c>
      <x:c r="B9" s="57" t="str">
        <x:v>Heat Pack</x:v>
      </x:c>
      <x:c r="C9" s="57" t="str">
        <x:v>tool</x:v>
      </x:c>
      <x:c r="D9" s="57" t="str">
        <x:v>TYPE-ITEM-TOOL</x:v>
      </x:c>
      <x:c r="E9" s="57" t="str">
        <x:v>Physical Product</x:v>
      </x:c>
      <x:c r="F9" s="57" t="str">
        <x:v>CAT-TREAT</x:v>
      </x:c>
      <x:c r="G9" s="57" t="str">
        <x:v>TAG-PAIN</x:v>
      </x:c>
      <x:c r="H9" s="57" t="str">
        <x:v>No</x:v>
      </x:c>
      <x:c r="I9" s="57" t="str">
        <x:v>No</x:v>
      </x:c>
      <x:c r="J9" s="57"/>
      <x:c r="K9" s="57" t="str">
        <x:v>No</x:v>
      </x:c>
      <x:c r="L9" s="57"/>
      <x:c r="M9" s="57"/>
      <x:c r="N9" s="57"/>
      <x:c r="O9" s="57"/>
      <x:c r="P9" s="57"/>
      <x:c r="Q9" s="57"/>
      <x:c r="R9" s="57"/>
      <x:c r="S9" s="57"/>
      <x:c r="T9" s="57" t="str">
        <x:v>No</x:v>
      </x:c>
      <x:c r="U9" s="57"/>
      <x:c r="V9" s="57"/>
      <x:c r="W9" s="57"/>
      <x:c r="X9" s="57"/>
      <x:c r="Y9" s="57"/>
      <x:c r="Z9" s="57"/>
      <x:c r="AA9" s="57" t="str">
        <x:v>OK</x:v>
      </x:c>
    </x:row>
    <x:row r="10" ht="15.75" hidden="0" customHeight="1">
      <x:c r="A10" s="57" t="str">
        <x:v>ITEM-ICE-PACK</x:v>
      </x:c>
      <x:c r="B10" s="57" t="str">
        <x:v>Ice Pack</x:v>
      </x:c>
      <x:c r="C10" s="57" t="str">
        <x:v>tool</x:v>
      </x:c>
      <x:c r="D10" s="57" t="str">
        <x:v>TYPE-ITEM-TOOL</x:v>
      </x:c>
      <x:c r="E10" s="57" t="str">
        <x:v>Physical Product</x:v>
      </x:c>
      <x:c r="F10" s="57" t="str">
        <x:v>CAT-TREAT</x:v>
      </x:c>
      <x:c r="G10" s="57" t="str">
        <x:v>TAG-PAIN</x:v>
      </x:c>
      <x:c r="H10" s="57" t="str">
        <x:v>No</x:v>
      </x:c>
      <x:c r="I10" s="57" t="str">
        <x:v>No</x:v>
      </x:c>
      <x:c r="J10" s="57"/>
      <x:c r="K10" s="57" t="str">
        <x:v>No</x:v>
      </x:c>
      <x:c r="L10" s="57"/>
      <x:c r="M10" s="57"/>
      <x:c r="N10" s="57"/>
      <x:c r="O10" s="57"/>
      <x:c r="P10" s="57"/>
      <x:c r="Q10" s="57"/>
      <x:c r="R10" s="57"/>
      <x:c r="S10" s="57"/>
      <x:c r="T10" s="57" t="str">
        <x:v>No</x:v>
      </x:c>
      <x:c r="U10" s="57"/>
      <x:c r="V10" s="57"/>
      <x:c r="W10" s="57"/>
      <x:c r="X10" s="57"/>
      <x:c r="Y10" s="57"/>
      <x:c r="Z10" s="57"/>
      <x:c r="AA10" s="57" t="str">
        <x:v>OK</x:v>
      </x:c>
    </x:row>
    <x:row r="11" ht="15.75" hidden="0" customHeight="1">
      <x:c r="A11" s="57" t="str">
        <x:v>ITEM-DRYNEED-30</x:v>
      </x:c>
      <x:c r="B11" s="57" t="str">
        <x:v>Dry needle 30x30</x:v>
      </x:c>
      <x:c r="C11" s="57" t="str">
        <x:v>clinical supply</x:v>
      </x:c>
      <x:c r="D11" s="57" t="str">
        <x:v>TYPE-ITEM-CLINICAL-SUPPLY</x:v>
      </x:c>
      <x:c r="E11" s="57" t="str">
        <x:v>Physical Product</x:v>
      </x:c>
      <x:c r="F11" s="57" t="str">
        <x:v>CAT-TREAT</x:v>
      </x:c>
      <x:c r="G11" s="57" t="str">
        <x:v>TAG-PAIN</x:v>
      </x:c>
      <x:c r="H11" s="57" t="str">
        <x:v>No</x:v>
      </x:c>
      <x:c r="I11" s="57" t="str">
        <x:v>No</x:v>
      </x:c>
      <x:c r="J11" s="57"/>
      <x:c r="K11" s="57" t="str">
        <x:v>No</x:v>
      </x:c>
      <x:c r="L11" s="57"/>
      <x:c r="M11" s="57"/>
      <x:c r="N11" s="57"/>
      <x:c r="O11" s="57"/>
      <x:c r="P11" s="57"/>
      <x:c r="Q11" s="57"/>
      <x:c r="R11" s="57"/>
      <x:c r="S11" s="57"/>
      <x:c r="T11" s="57" t="str">
        <x:v>No</x:v>
      </x:c>
      <x:c r="U11" s="57"/>
      <x:c r="V11" s="57"/>
      <x:c r="W11" s="57"/>
      <x:c r="X11" s="57"/>
      <x:c r="Y11" s="57"/>
      <x:c r="Z11" s="57"/>
      <x:c r="AA11" s="57" t="str">
        <x:v>OK</x:v>
      </x:c>
    </x:row>
    <x:row r="12" ht="15.75" hidden="0" customHeight="1">
      <x:c r="A12" s="57" t="str">
        <x:v>ITEM-DRYNEED-18</x:v>
      </x:c>
      <x:c r="B12" s="57" t="str">
        <x:v>Dry needle 18x30</x:v>
      </x:c>
      <x:c r="C12" s="57" t="str">
        <x:v>clinical supply</x:v>
      </x:c>
      <x:c r="D12" s="57" t="str">
        <x:v>TYPE-ITEM-CLINICAL-SUPPLY</x:v>
      </x:c>
      <x:c r="E12" s="57" t="str">
        <x:v>Physical Product</x:v>
      </x:c>
      <x:c r="F12" s="57" t="str">
        <x:v>CAT-TREAT</x:v>
      </x:c>
      <x:c r="G12" s="57" t="str">
        <x:v>TAG-PAIN</x:v>
      </x:c>
      <x:c r="H12" s="57" t="str">
        <x:v>No</x:v>
      </x:c>
      <x:c r="I12" s="57" t="str">
        <x:v>No</x:v>
      </x:c>
      <x:c r="J12" s="57"/>
      <x:c r="K12" s="57" t="str">
        <x:v>No</x:v>
      </x:c>
      <x:c r="L12" s="57"/>
      <x:c r="M12" s="57"/>
      <x:c r="N12" s="57"/>
      <x:c r="O12" s="57"/>
      <x:c r="P12" s="57"/>
      <x:c r="Q12" s="57"/>
      <x:c r="R12" s="57"/>
      <x:c r="S12" s="57"/>
      <x:c r="T12" s="57" t="str">
        <x:v>No</x:v>
      </x:c>
      <x:c r="U12" s="57"/>
      <x:c r="V12" s="57"/>
      <x:c r="W12" s="57"/>
      <x:c r="X12" s="57"/>
      <x:c r="Y12" s="57"/>
      <x:c r="Z12" s="57"/>
      <x:c r="AA12" s="57" t="str">
        <x:v>OK</x:v>
      </x:c>
    </x:row>
    <x:row r="13" ht="15.75" hidden="0" customHeight="1">
      <x:c r="A13" s="57" t="str">
        <x:v>ITEM-DRYNEED-45</x:v>
      </x:c>
      <x:c r="B13" s="57" t="str">
        <x:v>Dry needle 30x45</x:v>
      </x:c>
      <x:c r="C13" s="57" t="str">
        <x:v>clinical supply</x:v>
      </x:c>
      <x:c r="D13" s="57" t="str">
        <x:v>TYPE-ITEM-CLINICAL-SUPPLY</x:v>
      </x:c>
      <x:c r="E13" s="57" t="str">
        <x:v>Physical Product</x:v>
      </x:c>
      <x:c r="F13" s="57" t="str">
        <x:v>CAT-TREAT</x:v>
      </x:c>
      <x:c r="G13" s="57" t="str">
        <x:v>TAG-PAIN</x:v>
      </x:c>
      <x:c r="H13" s="57" t="str">
        <x:v>No</x:v>
      </x:c>
      <x:c r="I13" s="57" t="str">
        <x:v>No</x:v>
      </x:c>
      <x:c r="J13" s="57"/>
      <x:c r="K13" s="57" t="str">
        <x:v>No</x:v>
      </x:c>
      <x:c r="L13" s="57"/>
      <x:c r="M13" s="57"/>
      <x:c r="N13" s="57"/>
      <x:c r="O13" s="57"/>
      <x:c r="P13" s="57"/>
      <x:c r="Q13" s="57"/>
      <x:c r="R13" s="57"/>
      <x:c r="S13" s="57"/>
      <x:c r="T13" s="57" t="str">
        <x:v>No</x:v>
      </x:c>
      <x:c r="U13" s="57"/>
      <x:c r="V13" s="57"/>
      <x:c r="W13" s="57"/>
      <x:c r="X13" s="57"/>
      <x:c r="Y13" s="57"/>
      <x:c r="Z13" s="57"/>
      <x:c r="AA13" s="57" t="str">
        <x:v>OK</x:v>
      </x:c>
    </x:row>
    <x:row r="14" ht="15.75" hidden="0" customHeight="1">
      <x:c r="A14" s="57" t="str">
        <x:v>ITEM-DRYNEED-75</x:v>
      </x:c>
      <x:c r="B14" s="57" t="str">
        <x:v>Dry needle 30x75</x:v>
      </x:c>
      <x:c r="C14" s="57" t="str">
        <x:v>clinical supply</x:v>
      </x:c>
      <x:c r="D14" s="57" t="str">
        <x:v>TYPE-ITEM-CLINICAL-SUPPLY</x:v>
      </x:c>
      <x:c r="E14" s="57" t="str">
        <x:v>Physical Product</x:v>
      </x:c>
      <x:c r="F14" s="57" t="str">
        <x:v>CAT-TREAT</x:v>
      </x:c>
      <x:c r="G14" s="57" t="str">
        <x:v>TAG-PAIN</x:v>
      </x:c>
      <x:c r="H14" s="57" t="str">
        <x:v>No</x:v>
      </x:c>
      <x:c r="I14" s="57" t="str">
        <x:v>No</x:v>
      </x:c>
      <x:c r="J14" s="57"/>
      <x:c r="K14" s="57" t="str">
        <x:v>No</x:v>
      </x:c>
      <x:c r="L14" s="57"/>
      <x:c r="M14" s="57"/>
      <x:c r="N14" s="57"/>
      <x:c r="O14" s="57"/>
      <x:c r="P14" s="57"/>
      <x:c r="Q14" s="57"/>
      <x:c r="R14" s="57"/>
      <x:c r="S14" s="57"/>
      <x:c r="T14" s="57" t="str">
        <x:v>No</x:v>
      </x:c>
      <x:c r="U14" s="57"/>
      <x:c r="V14" s="57"/>
      <x:c r="W14" s="57"/>
      <x:c r="X14" s="57"/>
      <x:c r="Y14" s="57"/>
      <x:c r="Z14" s="57"/>
      <x:c r="AA14" s="57" t="str">
        <x:v>OK</x:v>
      </x:c>
    </x:row>
    <x:row r="15" ht="15.75" hidden="0" customHeight="1">
      <x:c r="A15" s="57" t="str">
        <x:v>ITEM-DRYNEED-100</x:v>
      </x:c>
      <x:c r="B15" s="57" t="str">
        <x:v>Dry needle 30x100</x:v>
      </x:c>
      <x:c r="C15" s="57" t="str">
        <x:v>clinical supply</x:v>
      </x:c>
      <x:c r="D15" s="57" t="str">
        <x:v>TYPE-ITEM-CLINICAL-SUPPLY</x:v>
      </x:c>
      <x:c r="E15" s="57" t="str">
        <x:v>Physical Product</x:v>
      </x:c>
      <x:c r="F15" s="57" t="str">
        <x:v>CAT-TREAT</x:v>
      </x:c>
      <x:c r="G15" s="57" t="str">
        <x:v>TAG-PAIN</x:v>
      </x:c>
      <x:c r="H15" s="57" t="str">
        <x:v>No</x:v>
      </x:c>
      <x:c r="I15" s="57" t="str">
        <x:v>No</x:v>
      </x:c>
      <x:c r="J15" s="57"/>
      <x:c r="K15" s="57" t="str">
        <x:v>No</x:v>
      </x:c>
      <x:c r="L15" s="57"/>
      <x:c r="M15" s="57"/>
      <x:c r="N15" s="57"/>
      <x:c r="O15" s="57"/>
      <x:c r="P15" s="57"/>
      <x:c r="Q15" s="57"/>
      <x:c r="R15" s="57"/>
      <x:c r="S15" s="57"/>
      <x:c r="T15" s="57" t="str">
        <x:v>No</x:v>
      </x:c>
      <x:c r="U15" s="57"/>
      <x:c r="V15" s="57"/>
      <x:c r="W15" s="57"/>
      <x:c r="X15" s="57"/>
      <x:c r="Y15" s="57"/>
      <x:c r="Z15" s="57"/>
      <x:c r="AA15" s="57" t="str">
        <x:v>OK</x:v>
      </x:c>
    </x:row>
    <x:row r="16" ht="15.75" hidden="0" customHeight="1">
      <x:c r="A16" s="57" t="str">
        <x:v>ITEM-DRYNEED-20</x:v>
      </x:c>
      <x:c r="B16" s="57" t="str">
        <x:v>Dry needle 15x20</x:v>
      </x:c>
      <x:c r="C16" s="57" t="str">
        <x:v>clinical supply</x:v>
      </x:c>
      <x:c r="D16" s="57" t="str">
        <x:v>TYPE-ITEM-CLINICAL-SUPPLY</x:v>
      </x:c>
      <x:c r="E16" s="57" t="str">
        <x:v>Physical Product</x:v>
      </x:c>
      <x:c r="F16" s="57" t="str">
        <x:v>CAT-TREAT</x:v>
      </x:c>
      <x:c r="G16" s="57" t="str">
        <x:v>TAG-PAIN</x:v>
      </x:c>
      <x:c r="H16" s="57" t="str">
        <x:v>No</x:v>
      </x:c>
      <x:c r="I16" s="57" t="str">
        <x:v>No</x:v>
      </x:c>
      <x:c r="J16" s="57"/>
      <x:c r="K16" s="57" t="str">
        <x:v>No</x:v>
      </x:c>
      <x:c r="L16" s="57"/>
      <x:c r="M16" s="57"/>
      <x:c r="N16" s="57"/>
      <x:c r="O16" s="57"/>
      <x:c r="P16" s="57"/>
      <x:c r="Q16" s="57"/>
      <x:c r="R16" s="57"/>
      <x:c r="S16" s="57"/>
      <x:c r="T16" s="57" t="str">
        <x:v>No</x:v>
      </x:c>
      <x:c r="U16" s="57"/>
      <x:c r="V16" s="57"/>
      <x:c r="W16" s="57"/>
      <x:c r="X16" s="57"/>
      <x:c r="Y16" s="57"/>
      <x:c r="Z16" s="57"/>
      <x:c r="AA16" s="57" t="str">
        <x:v>OK</x:v>
      </x:c>
    </x:row>
    <x:row r="17" ht="15.75" hidden="0" customHeight="1">
      <x:c r="A17" s="57" t="str">
        <x:v>ITEM-IANSM-GUA</x:v>
      </x:c>
      <x:c r="B17" s="57" t="str">
        <x:v>IANSM Tool (Guasha)</x:v>
      </x:c>
      <x:c r="C17" s="57" t="str">
        <x:v>tool</x:v>
      </x:c>
      <x:c r="D17" s="57" t="str">
        <x:v>TYPE-ITEM-TOOL</x:v>
      </x:c>
      <x:c r="E17" s="57" t="str">
        <x:v>Physical Product</x:v>
      </x:c>
      <x:c r="F17" s="57" t="str">
        <x:v>CAT-TREAT</x:v>
      </x:c>
      <x:c r="G17" s="57" t="str">
        <x:v>TAG-PAIN</x:v>
      </x:c>
      <x:c r="H17" s="57" t="str">
        <x:v>No</x:v>
      </x:c>
      <x:c r="I17" s="57" t="str">
        <x:v>No</x:v>
      </x:c>
      <x:c r="J17" s="57"/>
      <x:c r="K17" s="57" t="str">
        <x:v>No</x:v>
      </x:c>
      <x:c r="L17" s="57"/>
      <x:c r="M17" s="57"/>
      <x:c r="N17" s="57"/>
      <x:c r="O17" s="57"/>
      <x:c r="P17" s="57"/>
      <x:c r="Q17" s="57"/>
      <x:c r="R17" s="57"/>
      <x:c r="S17" s="57"/>
      <x:c r="T17" s="57" t="str">
        <x:v>No</x:v>
      </x:c>
      <x:c r="U17" s="57"/>
      <x:c r="V17" s="57"/>
      <x:c r="W17" s="57"/>
      <x:c r="X17" s="57"/>
      <x:c r="Y17" s="57"/>
      <x:c r="Z17" s="57"/>
      <x:c r="AA17" s="57" t="str">
        <x:v>OK</x:v>
      </x:c>
    </x:row>
    <x:row r="18" ht="15.75" hidden="0" customHeight="1">
      <x:c r="A18" s="57" t="str">
        <x:v>ITEM-ELECTRO-MACH</x:v>
      </x:c>
      <x:c r="B18" s="57" t="str">
        <x:v>Electro-needling machine</x:v>
      </x:c>
      <x:c r="C18" s="57" t="str">
        <x:v>clinical supply</x:v>
      </x:c>
      <x:c r="D18" s="57" t="str">
        <x:v>TYPE-ITEM-CLINICAL-SUPPLY</x:v>
      </x:c>
      <x:c r="E18" s="57" t="str">
        <x:v>Physical Product</x:v>
      </x:c>
      <x:c r="F18" s="57" t="str">
        <x:v>CAT-TREAT</x:v>
      </x:c>
      <x:c r="G18" s="57" t="str">
        <x:v>TAG-PAIN</x:v>
      </x:c>
      <x:c r="H18" s="57" t="str">
        <x:v>No</x:v>
      </x:c>
      <x:c r="I18" s="57" t="str">
        <x:v>No</x:v>
      </x:c>
      <x:c r="J18" s="57"/>
      <x:c r="K18" s="57" t="str">
        <x:v>No</x:v>
      </x:c>
      <x:c r="L18" s="57"/>
      <x:c r="M18" s="57"/>
      <x:c r="N18" s="57"/>
      <x:c r="O18" s="57"/>
      <x:c r="P18" s="57"/>
      <x:c r="Q18" s="57"/>
      <x:c r="R18" s="57"/>
      <x:c r="S18" s="57"/>
      <x:c r="T18" s="57" t="str">
        <x:v>No</x:v>
      </x:c>
      <x:c r="U18" s="57"/>
      <x:c r="V18" s="57"/>
      <x:c r="W18" s="57"/>
      <x:c r="X18" s="57"/>
      <x:c r="Y18" s="57"/>
      <x:c r="Z18" s="57"/>
      <x:c r="AA18" s="57" t="str">
        <x:v>OK</x:v>
      </x:c>
    </x:row>
    <x:row r="19" ht="15.75" hidden="0" customHeight="1">
      <x:c r="A19" s="57" t="str">
        <x:v>ITEM-FOAM-ROLLER</x:v>
      </x:c>
      <x:c r="B19" s="57" t="str">
        <x:v>Foam Roller</x:v>
      </x:c>
      <x:c r="C19" s="57" t="str">
        <x:v>tool</x:v>
      </x:c>
      <x:c r="D19" s="57" t="str">
        <x:v>TYPE-ITEM-TOOL</x:v>
      </x:c>
      <x:c r="E19" s="57" t="str">
        <x:v>Physical Product</x:v>
      </x:c>
      <x:c r="F19" s="57" t="str">
        <x:v>CAT-ART</x:v>
      </x:c>
      <x:c r="G19" s="57" t="str">
        <x:v>TAG-PAIN</x:v>
      </x:c>
      <x:c r="H19" s="57" t="str">
        <x:v>No</x:v>
      </x:c>
      <x:c r="I19" s="57" t="str">
        <x:v>No</x:v>
      </x:c>
      <x:c r="J19" s="57"/>
      <x:c r="K19" s="57" t="str">
        <x:v>No</x:v>
      </x:c>
      <x:c r="L19" s="57"/>
      <x:c r="M19" s="57"/>
      <x:c r="N19" s="57"/>
      <x:c r="O19" s="57"/>
      <x:c r="P19" s="57"/>
      <x:c r="Q19" s="57"/>
      <x:c r="R19" s="57"/>
      <x:c r="S19" s="57"/>
      <x:c r="T19" s="57" t="str">
        <x:v>No</x:v>
      </x:c>
      <x:c r="U19" s="57"/>
      <x:c r="V19" s="57"/>
      <x:c r="W19" s="57"/>
      <x:c r="X19" s="57"/>
      <x:c r="Y19" s="57"/>
      <x:c r="Z19" s="57"/>
      <x:c r="AA19" s="57" t="str">
        <x:v>OK</x:v>
      </x:c>
    </x:row>
    <x:row r="20" ht="15.75" hidden="0" customHeight="1">
      <x:c r="A20" s="57" t="str">
        <x:v>ITEM-THERA-BLUE</x:v>
      </x:c>
      <x:c r="B20" s="57" t="str">
        <x:v>Theraband Blue</x:v>
      </x:c>
      <x:c r="C20" s="57" t="str">
        <x:v>tool</x:v>
      </x:c>
      <x:c r="D20" s="57" t="str">
        <x:v>TYPE-ITEM-TOOL</x:v>
      </x:c>
      <x:c r="E20" s="57" t="str">
        <x:v>Physical Product</x:v>
      </x:c>
      <x:c r="F20" s="57" t="str">
        <x:v>CAT-ART</x:v>
      </x:c>
      <x:c r="G20" s="57" t="str">
        <x:v>TAG-FUNC, TAG-LOAD</x:v>
      </x:c>
      <x:c r="H20" s="57" t="str">
        <x:v>No</x:v>
      </x:c>
      <x:c r="I20" s="57" t="str">
        <x:v>No</x:v>
      </x:c>
      <x:c r="J20" s="57"/>
      <x:c r="K20" s="57" t="str">
        <x:v>No</x:v>
      </x:c>
      <x:c r="L20" s="57"/>
      <x:c r="M20" s="57"/>
      <x:c r="N20" s="57"/>
      <x:c r="O20" s="57"/>
      <x:c r="P20" s="57"/>
      <x:c r="Q20" s="57"/>
      <x:c r="R20" s="57"/>
      <x:c r="S20" s="57"/>
      <x:c r="T20" s="57" t="str">
        <x:v>No</x:v>
      </x:c>
      <x:c r="U20" s="57"/>
      <x:c r="V20" s="57"/>
      <x:c r="W20" s="57"/>
      <x:c r="X20" s="57"/>
      <x:c r="Y20" s="57"/>
      <x:c r="Z20" s="57"/>
      <x:c r="AA20" s="57" t="str">
        <x:v>OK</x:v>
      </x:c>
    </x:row>
    <x:row r="21" ht="15.75" hidden="0" customHeight="1">
      <x:c r="A21" s="57" t="str">
        <x:v>ITEM-THERA-RED</x:v>
      </x:c>
      <x:c r="B21" s="57" t="str">
        <x:v>Theraband Red</x:v>
      </x:c>
      <x:c r="C21" s="57" t="str">
        <x:v>tool</x:v>
      </x:c>
      <x:c r="D21" s="57" t="str">
        <x:v>TYPE-ITEM-TOOL</x:v>
      </x:c>
      <x:c r="E21" s="57" t="str">
        <x:v>Physical Product</x:v>
      </x:c>
      <x:c r="F21" s="57" t="str">
        <x:v>CAT-ART</x:v>
      </x:c>
      <x:c r="G21" s="57" t="str">
        <x:v>TAG-FUNC, TAG-LOAD</x:v>
      </x:c>
      <x:c r="H21" s="57" t="str">
        <x:v>No</x:v>
      </x:c>
      <x:c r="I21" s="57" t="str">
        <x:v>No</x:v>
      </x:c>
      <x:c r="J21" s="57"/>
      <x:c r="K21" s="57" t="str">
        <x:v>No</x:v>
      </x:c>
      <x:c r="L21" s="57"/>
      <x:c r="M21" s="57"/>
      <x:c r="N21" s="57"/>
      <x:c r="O21" s="57"/>
      <x:c r="P21" s="57"/>
      <x:c r="Q21" s="57"/>
      <x:c r="R21" s="57"/>
      <x:c r="S21" s="57"/>
      <x:c r="T21" s="57" t="str">
        <x:v>No</x:v>
      </x:c>
      <x:c r="U21" s="57"/>
      <x:c r="V21" s="57"/>
      <x:c r="W21" s="57"/>
      <x:c r="X21" s="57"/>
      <x:c r="Y21" s="57"/>
      <x:c r="Z21" s="57"/>
      <x:c r="AA21" s="57" t="str">
        <x:v>OK</x:v>
      </x:c>
    </x:row>
    <x:row r="22" ht="15.75" hidden="0" customHeight="1">
      <x:c r="A22" s="57" t="str">
        <x:v>ITEM-THERA-GREEN</x:v>
      </x:c>
      <x:c r="B22" s="57" t="str">
        <x:v>Theraband Green</x:v>
      </x:c>
      <x:c r="C22" s="57" t="str">
        <x:v>tool</x:v>
      </x:c>
      <x:c r="D22" s="57" t="str">
        <x:v>TYPE-ITEM-TOOL</x:v>
      </x:c>
      <x:c r="E22" s="57" t="str">
        <x:v>Physical Product</x:v>
      </x:c>
      <x:c r="F22" s="57" t="str">
        <x:v>CAT-ART</x:v>
      </x:c>
      <x:c r="G22" s="57" t="str">
        <x:v>TAG-FUNC, TAG-LOAD</x:v>
      </x:c>
      <x:c r="H22" s="57" t="str">
        <x:v>No</x:v>
      </x:c>
      <x:c r="I22" s="57" t="str">
        <x:v>No</x:v>
      </x:c>
      <x:c r="J22" s="57"/>
      <x:c r="K22" s="57" t="str">
        <x:v>No</x:v>
      </x:c>
      <x:c r="L22" s="57"/>
      <x:c r="M22" s="57"/>
      <x:c r="N22" s="57"/>
      <x:c r="O22" s="57"/>
      <x:c r="P22" s="57"/>
      <x:c r="Q22" s="57"/>
      <x:c r="R22" s="57"/>
      <x:c r="S22" s="57"/>
      <x:c r="T22" s="57" t="str">
        <x:v>No</x:v>
      </x:c>
      <x:c r="U22" s="57"/>
      <x:c r="V22" s="57"/>
      <x:c r="W22" s="57"/>
      <x:c r="X22" s="57"/>
      <x:c r="Y22" s="57"/>
      <x:c r="Z22" s="57"/>
      <x:c r="AA22" s="57" t="str">
        <x:v>OK</x:v>
      </x:c>
    </x:row>
    <x:row r="23" ht="15.75" hidden="0" customHeight="1">
      <x:c r="A23" s="57" t="str">
        <x:v>ITEM-THERA-YELLOW</x:v>
      </x:c>
      <x:c r="B23" s="57" t="str">
        <x:v>Theraband Yellow</x:v>
      </x:c>
      <x:c r="C23" s="57" t="str">
        <x:v>tool</x:v>
      </x:c>
      <x:c r="D23" s="57" t="str">
        <x:v>TYPE-ITEM-TOOL</x:v>
      </x:c>
      <x:c r="E23" s="57" t="str">
        <x:v>Physical Product</x:v>
      </x:c>
      <x:c r="F23" s="57" t="str">
        <x:v>CAT-ART</x:v>
      </x:c>
      <x:c r="G23" s="57" t="str">
        <x:v>TAG-FUNC, TAG-LOAD</x:v>
      </x:c>
      <x:c r="H23" s="57" t="str">
        <x:v>No</x:v>
      </x:c>
      <x:c r="I23" s="57" t="str">
        <x:v>No</x:v>
      </x:c>
      <x:c r="J23" s="57"/>
      <x:c r="K23" s="57" t="str">
        <x:v>No</x:v>
      </x:c>
      <x:c r="L23" s="57"/>
      <x:c r="M23" s="57"/>
      <x:c r="N23" s="57"/>
      <x:c r="O23" s="57"/>
      <x:c r="P23" s="57"/>
      <x:c r="Q23" s="57"/>
      <x:c r="R23" s="57"/>
      <x:c r="S23" s="57"/>
      <x:c r="T23" s="57" t="str">
        <x:v>No</x:v>
      </x:c>
      <x:c r="U23" s="57"/>
      <x:c r="V23" s="57"/>
      <x:c r="W23" s="57"/>
      <x:c r="X23" s="57"/>
      <x:c r="Y23" s="57"/>
      <x:c r="Z23" s="57"/>
      <x:c r="AA23" s="57" t="str">
        <x:v>OK</x:v>
      </x:c>
    </x:row>
    <x:row r="24" ht="15.75" hidden="0" customHeight="1">
      <x:c r="A24" s="57" t="str">
        <x:v>ITEM-REFORMER</x:v>
      </x:c>
      <x:c r="B24" s="57" t="str">
        <x:v>Reformer</x:v>
      </x:c>
      <x:c r="C24" s="57" t="str">
        <x:v>exercise equipment</x:v>
      </x:c>
      <x:c r="D24" s="57" t="str">
        <x:v>TYPE-ITEM-EXERCISE-EQUIPMENT</x:v>
      </x:c>
      <x:c r="E24" s="57" t="str">
        <x:v>Physical Product</x:v>
      </x:c>
      <x:c r="F24" s="57" t="str">
        <x:v>CAT-ART</x:v>
      </x:c>
      <x:c r="G24" s="57" t="str">
        <x:v>TAG-FUNC, TAG-LOAD</x:v>
      </x:c>
      <x:c r="H24" s="57" t="str">
        <x:v>No</x:v>
      </x:c>
      <x:c r="I24" s="57" t="str">
        <x:v>No</x:v>
      </x:c>
      <x:c r="J24" s="57"/>
      <x:c r="K24" s="57" t="str">
        <x:v>No</x:v>
      </x:c>
      <x:c r="L24" s="57"/>
      <x:c r="M24" s="57"/>
      <x:c r="N24" s="57"/>
      <x:c r="O24" s="57"/>
      <x:c r="P24" s="57"/>
      <x:c r="Q24" s="57"/>
      <x:c r="R24" s="57"/>
      <x:c r="S24" s="57"/>
      <x:c r="T24" s="57" t="str">
        <x:v>No</x:v>
      </x:c>
      <x:c r="U24" s="57"/>
      <x:c r="V24" s="57"/>
      <x:c r="W24" s="57"/>
      <x:c r="X24" s="57"/>
      <x:c r="Y24" s="57"/>
      <x:c r="Z24" s="57"/>
      <x:c r="AA24" s="57" t="str">
        <x:v>OK</x:v>
      </x:c>
    </x:row>
    <x:row r="25" ht="15.75" hidden="0" customHeight="1">
      <x:c r="A25" s="57" t="str">
        <x:v>ITEM-WUNDA-CHAIR</x:v>
      </x:c>
      <x:c r="B25" s="57" t="str">
        <x:v>Wunda Chair</x:v>
      </x:c>
      <x:c r="C25" s="57" t="str">
        <x:v>exercise equipment</x:v>
      </x:c>
      <x:c r="D25" s="57" t="str">
        <x:v>TYPE-ITEM-EXERCISE-EQUIPMENT</x:v>
      </x:c>
      <x:c r="E25" s="57" t="str">
        <x:v>Physical Product</x:v>
      </x:c>
      <x:c r="F25" s="57" t="str">
        <x:v>CAT-ART</x:v>
      </x:c>
      <x:c r="G25" s="57" t="str">
        <x:v>TAG-FUNC, TAG-LOAD</x:v>
      </x:c>
      <x:c r="H25" s="57" t="str">
        <x:v>No</x:v>
      </x:c>
      <x:c r="I25" s="57" t="str">
        <x:v>No</x:v>
      </x:c>
      <x:c r="J25" s="57"/>
      <x:c r="K25" s="57" t="str">
        <x:v>No</x:v>
      </x:c>
      <x:c r="L25" s="57"/>
      <x:c r="M25" s="57"/>
      <x:c r="N25" s="57"/>
      <x:c r="O25" s="57"/>
      <x:c r="P25" s="57"/>
      <x:c r="Q25" s="57"/>
      <x:c r="R25" s="57"/>
      <x:c r="S25" s="57"/>
      <x:c r="T25" s="57" t="str">
        <x:v>No</x:v>
      </x:c>
      <x:c r="U25" s="57"/>
      <x:c r="V25" s="57"/>
      <x:c r="W25" s="57"/>
      <x:c r="X25" s="57"/>
      <x:c r="Y25" s="57"/>
      <x:c r="Z25" s="57"/>
      <x:c r="AA25" s="57" t="str">
        <x:v>OK</x:v>
      </x:c>
    </x:row>
    <x:row r="26" ht="15.75" hidden="0" customHeight="1">
      <x:c r="A26" s="57" t="str">
        <x:v>ITEM-BARREL</x:v>
      </x:c>
      <x:c r="B26" s="57" t="str">
        <x:v>Barrel</x:v>
      </x:c>
      <x:c r="C26" s="57" t="str">
        <x:v>exercise equipment</x:v>
      </x:c>
      <x:c r="D26" s="57" t="str">
        <x:v>TYPE-ITEM-EXERCISE-EQUIPMENT</x:v>
      </x:c>
      <x:c r="E26" s="57" t="str">
        <x:v>Physical Product</x:v>
      </x:c>
      <x:c r="F26" s="57" t="str">
        <x:v>CAT-ART</x:v>
      </x:c>
      <x:c r="G26" s="57" t="str">
        <x:v>TAG-FUNC, TAG-LOAD</x:v>
      </x:c>
      <x:c r="H26" s="57" t="str">
        <x:v>No</x:v>
      </x:c>
      <x:c r="I26" s="57" t="str">
        <x:v>No</x:v>
      </x:c>
      <x:c r="J26" s="57"/>
      <x:c r="K26" s="57" t="str">
        <x:v>No</x:v>
      </x:c>
      <x:c r="L26" s="57"/>
      <x:c r="M26" s="57"/>
      <x:c r="N26" s="57"/>
      <x:c r="O26" s="57"/>
      <x:c r="P26" s="57"/>
      <x:c r="Q26" s="57"/>
      <x:c r="R26" s="57"/>
      <x:c r="S26" s="57"/>
      <x:c r="T26" s="57" t="str">
        <x:v>No</x:v>
      </x:c>
      <x:c r="U26" s="57"/>
      <x:c r="V26" s="57"/>
      <x:c r="W26" s="57"/>
      <x:c r="X26" s="57"/>
      <x:c r="Y26" s="57"/>
      <x:c r="Z26" s="57"/>
      <x:c r="AA26" s="57" t="str">
        <x:v>OK</x:v>
      </x:c>
    </x:row>
    <x:row r="27" ht="15.75" hidden="0" customHeight="1">
      <x:c r="A27" s="57" t="str">
        <x:v>ITEM-PILATES-STICK</x:v>
      </x:c>
      <x:c r="B27" s="57" t="str">
        <x:v>Pilates Stick/Broom handle</x:v>
      </x:c>
      <x:c r="C27" s="57" t="str">
        <x:v>tool</x:v>
      </x:c>
      <x:c r="D27" s="57" t="str">
        <x:v>TYPE-ITEM-TOOL</x:v>
      </x:c>
      <x:c r="E27" s="57" t="str">
        <x:v>Physical Product</x:v>
      </x:c>
      <x:c r="F27" s="57" t="str">
        <x:v>CAT-ART</x:v>
      </x:c>
      <x:c r="G27" s="57" t="str">
        <x:v>TAG-FUNC, TAG-LOAD</x:v>
      </x:c>
      <x:c r="H27" s="57" t="str">
        <x:v>No</x:v>
      </x:c>
      <x:c r="I27" s="57" t="str">
        <x:v>No</x:v>
      </x:c>
      <x:c r="J27" s="57"/>
      <x:c r="K27" s="57" t="str">
        <x:v>No</x:v>
      </x:c>
      <x:c r="L27" s="57"/>
      <x:c r="M27" s="57"/>
      <x:c r="N27" s="57"/>
      <x:c r="O27" s="57"/>
      <x:c r="P27" s="57"/>
      <x:c r="Q27" s="57"/>
      <x:c r="R27" s="57"/>
      <x:c r="S27" s="57"/>
      <x:c r="T27" s="57" t="str">
        <x:v>No</x:v>
      </x:c>
      <x:c r="U27" s="57"/>
      <x:c r="V27" s="57"/>
      <x:c r="W27" s="57"/>
      <x:c r="X27" s="57"/>
      <x:c r="Y27" s="57"/>
      <x:c r="Z27" s="57"/>
      <x:c r="AA27" s="57" t="str">
        <x:v>OK</x:v>
      </x:c>
    </x:row>
    <x:row r="28" ht="15.75" hidden="0" customHeight="1">
      <x:c r="A28" s="57" t="str">
        <x:v>ITEM-DUMBELL-1KG</x:v>
      </x:c>
      <x:c r="B28" s="57" t="str">
        <x:v>1kg dumbell</x:v>
      </x:c>
      <x:c r="C28" s="57" t="str">
        <x:v>tool</x:v>
      </x:c>
      <x:c r="D28" s="57" t="str">
        <x:v>TYPE-ITEM-TOOL</x:v>
      </x:c>
      <x:c r="E28" s="57" t="str">
        <x:v>Physical Product</x:v>
      </x:c>
      <x:c r="F28" s="57" t="str">
        <x:v>CAT-ART</x:v>
      </x:c>
      <x:c r="G28" s="57" t="str">
        <x:v>TAG-FUNC, TAG-LOAD</x:v>
      </x:c>
      <x:c r="H28" s="57" t="str">
        <x:v>No</x:v>
      </x:c>
      <x:c r="I28" s="57" t="str">
        <x:v>No</x:v>
      </x:c>
      <x:c r="J28" s="57"/>
      <x:c r="K28" s="57" t="str">
        <x:v>No</x:v>
      </x:c>
      <x:c r="L28" s="57"/>
      <x:c r="M28" s="57"/>
      <x:c r="N28" s="57"/>
      <x:c r="O28" s="57"/>
      <x:c r="P28" s="57"/>
      <x:c r="Q28" s="57"/>
      <x:c r="R28" s="57"/>
      <x:c r="S28" s="57"/>
      <x:c r="T28" s="57" t="str">
        <x:v>No</x:v>
      </x:c>
      <x:c r="U28" s="57"/>
      <x:c r="V28" s="57"/>
      <x:c r="W28" s="57"/>
      <x:c r="X28" s="57"/>
      <x:c r="Y28" s="57"/>
      <x:c r="Z28" s="57"/>
      <x:c r="AA28" s="57" t="str">
        <x:v>OK</x:v>
      </x:c>
    </x:row>
    <x:row r="29" ht="15.75" hidden="0" customHeight="1">
      <x:c r="A29" s="57" t="str">
        <x:v>ITEM-DUMBELL-3KG</x:v>
      </x:c>
      <x:c r="B29" s="57" t="str">
        <x:v>3kg dumbell</x:v>
      </x:c>
      <x:c r="C29" s="57" t="str">
        <x:v>tool</x:v>
      </x:c>
      <x:c r="D29" s="57" t="str">
        <x:v>TYPE-ITEM-TOOL</x:v>
      </x:c>
      <x:c r="E29" s="57" t="str">
        <x:v>Physical Product</x:v>
      </x:c>
      <x:c r="F29" s="57" t="str">
        <x:v>CAT-ART</x:v>
      </x:c>
      <x:c r="G29" s="57" t="str">
        <x:v>TAG-FUNC, TAG-LOAD</x:v>
      </x:c>
      <x:c r="H29" s="57" t="str">
        <x:v>No</x:v>
      </x:c>
      <x:c r="I29" s="57" t="str">
        <x:v>No</x:v>
      </x:c>
      <x:c r="J29" s="57"/>
      <x:c r="K29" s="57" t="str">
        <x:v>No</x:v>
      </x:c>
      <x:c r="L29" s="57"/>
      <x:c r="M29" s="57"/>
      <x:c r="N29" s="57"/>
      <x:c r="O29" s="57"/>
      <x:c r="P29" s="57"/>
      <x:c r="Q29" s="57"/>
      <x:c r="R29" s="57"/>
      <x:c r="S29" s="57"/>
      <x:c r="T29" s="57" t="str">
        <x:v>No</x:v>
      </x:c>
      <x:c r="U29" s="57"/>
      <x:c r="V29" s="57"/>
      <x:c r="W29" s="57"/>
      <x:c r="X29" s="57"/>
      <x:c r="Y29" s="57"/>
      <x:c r="Z29" s="57"/>
      <x:c r="AA29" s="57" t="str">
        <x:v>OK</x:v>
      </x:c>
    </x:row>
    <x:row r="30" ht="15.75" hidden="0" customHeight="1">
      <x:c r="A30" s="57" t="str">
        <x:v>ITEM-DUMBELL-5KG</x:v>
      </x:c>
      <x:c r="B30" s="57" t="str">
        <x:v>5kg dumbell</x:v>
      </x:c>
      <x:c r="C30" s="57" t="str">
        <x:v>tool</x:v>
      </x:c>
      <x:c r="D30" s="57" t="str">
        <x:v>TYPE-ITEM-TOOL</x:v>
      </x:c>
      <x:c r="E30" s="57" t="str">
        <x:v>Physical Product</x:v>
      </x:c>
      <x:c r="F30" s="57" t="str">
        <x:v>CAT-ART</x:v>
      </x:c>
      <x:c r="G30" s="57" t="str">
        <x:v>TAG-FUNC, TAG-LOAD</x:v>
      </x:c>
      <x:c r="H30" s="57" t="str">
        <x:v>No</x:v>
      </x:c>
      <x:c r="I30" s="57" t="str">
        <x:v>No</x:v>
      </x:c>
      <x:c r="J30" s="57"/>
      <x:c r="K30" s="57" t="str">
        <x:v>No</x:v>
      </x:c>
      <x:c r="L30" s="57"/>
      <x:c r="M30" s="57"/>
      <x:c r="N30" s="57"/>
      <x:c r="O30" s="57"/>
      <x:c r="P30" s="57"/>
      <x:c r="Q30" s="57"/>
      <x:c r="R30" s="57"/>
      <x:c r="S30" s="57"/>
      <x:c r="T30" s="57" t="str">
        <x:v>No</x:v>
      </x:c>
      <x:c r="U30" s="57"/>
      <x:c r="V30" s="57"/>
      <x:c r="W30" s="57"/>
      <x:c r="X30" s="57"/>
      <x:c r="Y30" s="57"/>
      <x:c r="Z30" s="57"/>
      <x:c r="AA30" s="57" t="str">
        <x:v>OK</x:v>
      </x:c>
    </x:row>
    <x:row r="31" ht="15.75" hidden="0" customHeight="1">
      <x:c r="A31" s="57" t="str">
        <x:v>ITEM-GONIOMETER</x:v>
      </x:c>
      <x:c r="B31" s="57" t="str">
        <x:v>Goniometer</x:v>
      </x:c>
      <x:c r="C31" s="57" t="str">
        <x:v>clinical supply</x:v>
      </x:c>
      <x:c r="D31" s="57" t="str">
        <x:v>TYPE-ITEM-CLINICAL-SUPPLY</x:v>
      </x:c>
      <x:c r="E31" s="57" t="str">
        <x:v>Physical Product</x:v>
      </x:c>
      <x:c r="F31" s="57" t="str">
        <x:v>CAT-TEST</x:v>
      </x:c>
      <x:c r="G31" s="57" t="str">
        <x:v>TAG-PAIN</x:v>
      </x:c>
      <x:c r="H31" s="57" t="str">
        <x:v>No</x:v>
      </x:c>
      <x:c r="I31" s="57" t="str">
        <x:v>No</x:v>
      </x:c>
      <x:c r="J31" s="57"/>
      <x:c r="K31" s="57" t="str">
        <x:v>No</x:v>
      </x:c>
      <x:c r="L31" s="57"/>
      <x:c r="M31" s="57"/>
      <x:c r="N31" s="57"/>
      <x:c r="O31" s="57"/>
      <x:c r="P31" s="57"/>
      <x:c r="Q31" s="57"/>
      <x:c r="R31" s="57"/>
      <x:c r="S31" s="57"/>
      <x:c r="T31" s="57" t="str">
        <x:v>No</x:v>
      </x:c>
      <x:c r="U31" s="57"/>
      <x:c r="V31" s="57"/>
      <x:c r="W31" s="57"/>
      <x:c r="X31" s="57"/>
      <x:c r="Y31" s="57"/>
      <x:c r="Z31" s="57"/>
      <x:c r="AA31" s="57" t="str">
        <x:v>OK</x:v>
      </x:c>
    </x:row>
    <x:row r="32" ht="15.75" hidden="0" customHeight="1">
      <x:c r="A32" s="57" t="str">
        <x:v>ITEM-TUNING FORK</x:v>
      </x:c>
      <x:c r="B32" s="57" t="str">
        <x:v>Tuning fork</x:v>
      </x:c>
      <x:c r="C32" s="57" t="str">
        <x:v>tool</x:v>
      </x:c>
      <x:c r="D32" s="57" t="str">
        <x:v>TYPE-ITEM-TOOL</x:v>
      </x:c>
      <x:c r="E32" s="57" t="str">
        <x:v>Physical Product</x:v>
      </x:c>
      <x:c r="F32" s="57" t="str">
        <x:v>CAT-TEST</x:v>
      </x:c>
      <x:c r="G32" s="57" t="str">
        <x:v>TAG-NEURO</x:v>
      </x:c>
      <x:c r="H32" s="57" t="str">
        <x:v>No</x:v>
      </x:c>
      <x:c r="I32" s="57" t="str">
        <x:v>No</x:v>
      </x:c>
      <x:c r="J32" s="57"/>
      <x:c r="K32" s="57" t="str">
        <x:v>No</x:v>
      </x:c>
      <x:c r="L32" s="57"/>
      <x:c r="M32" s="57"/>
      <x:c r="N32" s="57" t="str">
        <x:v>No</x:v>
      </x:c>
      <x:c r="O32" s="57"/>
      <x:c r="P32" s="57"/>
      <x:c r="Q32" s="57"/>
      <x:c r="R32" s="57"/>
      <x:c r="S32" s="57"/>
      <x:c r="T32" s="57" t="str">
        <x:v>No</x:v>
      </x:c>
      <x:c r="U32" s="57"/>
      <x:c r="V32" s="57"/>
      <x:c r="W32" s="57"/>
      <x:c r="X32" s="57"/>
      <x:c r="Y32" s="57"/>
      <x:c r="Z32" s="57"/>
      <x:c r="AA32" s="57" t="str">
        <x:v>OK</x:v>
      </x:c>
    </x:row>
    <x:row r="33" ht="15.75" hidden="0" customHeight="1">
      <x:c r="A33" s="57" t="str">
        <x:v>ITEM-REFLEX-HAMM</x:v>
      </x:c>
      <x:c r="B33" s="57" t="str">
        <x:v>Reflex hammer</x:v>
      </x:c>
      <x:c r="C33" s="57" t="str">
        <x:v>clinical supply</x:v>
      </x:c>
      <x:c r="D33" s="57" t="str">
        <x:v>TYPE-ITEM-CLINICAL-SUPPLY</x:v>
      </x:c>
      <x:c r="E33" s="57" t="str">
        <x:v>Physical Product</x:v>
      </x:c>
      <x:c r="F33" s="57" t="str">
        <x:v>CAT-TEST</x:v>
      </x:c>
      <x:c r="G33" s="57" t="str">
        <x:v>TAG-NEURO</x:v>
      </x:c>
      <x:c r="H33" s="57" t="str">
        <x:v>No</x:v>
      </x:c>
      <x:c r="I33" s="57" t="str">
        <x:v>No</x:v>
      </x:c>
      <x:c r="J33" s="57"/>
      <x:c r="K33" s="57" t="str">
        <x:v>No</x:v>
      </x:c>
      <x:c r="L33" s="57"/>
      <x:c r="M33" s="57"/>
      <x:c r="N33" s="57"/>
      <x:c r="O33" s="57"/>
      <x:c r="P33" s="57"/>
      <x:c r="Q33" s="57"/>
      <x:c r="R33" s="57"/>
      <x:c r="S33" s="57"/>
      <x:c r="T33" s="57" t="str">
        <x:v>No</x:v>
      </x:c>
      <x:c r="U33" s="57"/>
      <x:c r="V33" s="57"/>
      <x:c r="W33" s="57"/>
      <x:c r="X33" s="57"/>
      <x:c r="Y33" s="57"/>
      <x:c r="Z33" s="57"/>
      <x:c r="AA33" s="57" t="str">
        <x:v>OK</x:v>
      </x:c>
    </x:row>
    <x:row r="34" ht="15.75" hidden="0" customHeight="1">
      <x:c r="A34" s="57" t="str">
        <x:v>ITEM-ROCKTAPE-BIG</x:v>
      </x:c>
      <x:c r="B34" s="57" t="str">
        <x:v>Rocktape big daddy</x:v>
      </x:c>
      <x:c r="C34" s="57" t="str">
        <x:v>clinical supply</x:v>
      </x:c>
      <x:c r="D34" s="57" t="str">
        <x:v>TYPE-ITEM-CLINICAL-SUPPLY</x:v>
      </x:c>
      <x:c r="E34" s="57" t="str">
        <x:v>Physical Product</x:v>
      </x:c>
      <x:c r="F34" s="57" t="str">
        <x:v>CAT-TREAT</x:v>
      </x:c>
      <x:c r="G34" s="57" t="str">
        <x:v>TAG-PAIN</x:v>
      </x:c>
      <x:c r="H34" s="57" t="str">
        <x:v>No</x:v>
      </x:c>
      <x:c r="I34" s="57" t="str">
        <x:v>No</x:v>
      </x:c>
      <x:c r="J34" s="57"/>
      <x:c r="K34" s="57" t="str">
        <x:v>No</x:v>
      </x:c>
      <x:c r="L34" s="57"/>
      <x:c r="M34" s="57"/>
      <x:c r="N34" s="57"/>
      <x:c r="O34" s="57"/>
      <x:c r="P34" s="57"/>
      <x:c r="Q34" s="57"/>
      <x:c r="R34" s="57"/>
      <x:c r="S34" s="57"/>
      <x:c r="T34" s="57" t="str">
        <x:v>No</x:v>
      </x:c>
      <x:c r="U34" s="57"/>
      <x:c r="V34" s="57"/>
      <x:c r="W34" s="57"/>
      <x:c r="X34" s="57"/>
      <x:c r="Y34" s="57"/>
      <x:c r="Z34" s="57"/>
      <x:c r="AA34" s="57" t="str">
        <x:v>OK</x:v>
      </x:c>
    </x:row>
    <x:row r="35" ht="15.75" hidden="0" customHeight="1">
      <x:c r="A35" s="57" t="str">
        <x:v>ITEM-ROCKTAPE-SML</x:v>
      </x:c>
      <x:c r="B35" s="57" t="str">
        <x:v>Rocktape</x:v>
      </x:c>
      <x:c r="C35" s="57" t="str">
        <x:v>tool</x:v>
      </x:c>
      <x:c r="D35" s="57" t="str">
        <x:v>TYPE-ITEM-TOOL</x:v>
      </x:c>
      <x:c r="E35" s="57" t="str">
        <x:v>Physical Product</x:v>
      </x:c>
      <x:c r="F35" s="57" t="str">
        <x:v>CAT-TREAT</x:v>
      </x:c>
      <x:c r="G35" s="57" t="str">
        <x:v>TAG-PAIN</x:v>
      </x:c>
      <x:c r="H35" s="57" t="str">
        <x:v>No</x:v>
      </x:c>
      <x:c r="I35" s="57" t="str">
        <x:v>No</x:v>
      </x:c>
      <x:c r="J35" s="57"/>
      <x:c r="K35" s="57" t="str">
        <x:v>No</x:v>
      </x:c>
      <x:c r="L35" s="57"/>
      <x:c r="M35" s="57"/>
      <x:c r="N35" s="57"/>
      <x:c r="O35" s="57"/>
      <x:c r="P35" s="57"/>
      <x:c r="Q35" s="57"/>
      <x:c r="R35" s="57"/>
      <x:c r="S35" s="57"/>
      <x:c r="T35" s="57" t="str">
        <x:v>No</x:v>
      </x:c>
      <x:c r="U35" s="57"/>
      <x:c r="V35" s="57"/>
      <x:c r="W35" s="57"/>
      <x:c r="X35" s="57"/>
      <x:c r="Y35" s="57"/>
      <x:c r="Z35" s="57"/>
      <x:c r="AA35" s="57" t="str">
        <x:v>OK</x:v>
      </x:c>
    </x:row>
    <x:row r="36" ht="15.75" hidden="0" customHeight="1">
      <x:c r="A36" s="57" t="str">
        <x:v>ITEM-RIDGID-TAPE</x:v>
      </x:c>
      <x:c r="B36" s="57" t="str">
        <x:v>Ridgid tape</x:v>
      </x:c>
      <x:c r="C36" s="57" t="str">
        <x:v>tool</x:v>
      </x:c>
      <x:c r="D36" s="57" t="str">
        <x:v>TYPE-ITEM-TOOL</x:v>
      </x:c>
      <x:c r="E36" s="57" t="str">
        <x:v>Physical Product</x:v>
      </x:c>
      <x:c r="F36" s="57" t="str">
        <x:v>CAT-TREAT</x:v>
      </x:c>
      <x:c r="G36" s="57" t="str">
        <x:v>TAG-PAIN</x:v>
      </x:c>
      <x:c r="H36" s="57" t="str">
        <x:v>No</x:v>
      </x:c>
      <x:c r="I36" s="57" t="str">
        <x:v>No</x:v>
      </x:c>
      <x:c r="J36" s="57"/>
      <x:c r="K36" s="57" t="str">
        <x:v>No</x:v>
      </x:c>
      <x:c r="L36" s="57"/>
      <x:c r="M36" s="57"/>
      <x:c r="N36" s="57"/>
      <x:c r="O36" s="57"/>
      <x:c r="P36" s="57"/>
      <x:c r="Q36" s="57"/>
      <x:c r="R36" s="57"/>
      <x:c r="S36" s="57"/>
      <x:c r="T36" s="57" t="str">
        <x:v>No</x:v>
      </x:c>
      <x:c r="U36" s="57"/>
      <x:c r="V36" s="57"/>
      <x:c r="W36" s="57"/>
      <x:c r="X36" s="57"/>
      <x:c r="Y36" s="57"/>
      <x:c r="Z36" s="57"/>
      <x:c r="AA36" s="57" t="str">
        <x:v>OK</x:v>
      </x:c>
    </x:row>
    <x:row r="37" ht="15.75" hidden="0" customHeight="1">
      <x:c r="A37" s="57" t="str">
        <x:v>ITEM-UNDERWRAP-TAPE</x:v>
      </x:c>
      <x:c r="B37" s="57" t="str">
        <x:v>Underwrap</x:v>
      </x:c>
      <x:c r="C37" s="57" t="str">
        <x:v>tool</x:v>
      </x:c>
      <x:c r="D37" s="57" t="str">
        <x:v>TYPE-ITEM-TOOL</x:v>
      </x:c>
      <x:c r="E37" s="57" t="str">
        <x:v>Physical Product</x:v>
      </x:c>
      <x:c r="F37" s="57" t="str">
        <x:v>CAT-TREAT</x:v>
      </x:c>
      <x:c r="G37" s="57" t="str">
        <x:v>TAG-PAIN</x:v>
      </x:c>
      <x:c r="H37" s="57" t="str">
        <x:v>No</x:v>
      </x:c>
      <x:c r="I37" s="57" t="str">
        <x:v>No</x:v>
      </x:c>
      <x:c r="J37" s="57"/>
      <x:c r="K37" s="57" t="str">
        <x:v>No</x:v>
      </x:c>
      <x:c r="L37" s="57"/>
      <x:c r="M37" s="57"/>
      <x:c r="N37" s="57"/>
      <x:c r="O37" s="57"/>
      <x:c r="P37" s="57"/>
      <x:c r="Q37" s="57"/>
      <x:c r="R37" s="57"/>
      <x:c r="S37" s="57"/>
      <x:c r="T37" s="57" t="str">
        <x:v>No</x:v>
      </x:c>
      <x:c r="U37" s="57"/>
      <x:c r="V37" s="57"/>
      <x:c r="W37" s="57"/>
      <x:c r="X37" s="57"/>
      <x:c r="Y37" s="57"/>
      <x:c r="Z37" s="57"/>
      <x:c r="AA37" s="57" t="str">
        <x:v>OK</x:v>
      </x:c>
    </x:row>
    <x:row r="38" ht="15.75" hidden="0" customHeight="1">
      <x:c r="A38" s="57" t="str">
        <x:v>ITEM-CHI-BALL</x:v>
      </x:c>
      <x:c r="B38" s="57" t="str">
        <x:v>Chi-Ball</x:v>
      </x:c>
      <x:c r="C38" s="57" t="str">
        <x:v>tool</x:v>
      </x:c>
      <x:c r="D38" s="57" t="str">
        <x:v>TYPE-ITEM-TOOL</x:v>
      </x:c>
      <x:c r="E38" s="57" t="str">
        <x:v>Physical Product</x:v>
      </x:c>
      <x:c r="F38" s="57" t="str">
        <x:v>CAT-ART</x:v>
      </x:c>
      <x:c r="G38" s="57" t="str">
        <x:v>TAG-FUNC</x:v>
      </x:c>
      <x:c r="H38" s="57" t="str">
        <x:v>No</x:v>
      </x:c>
      <x:c r="I38" s="57" t="str">
        <x:v>No</x:v>
      </x:c>
      <x:c r="J38" s="57"/>
      <x:c r="K38" s="57" t="str">
        <x:v>No</x:v>
      </x:c>
      <x:c r="L38" s="57"/>
      <x:c r="M38" s="57"/>
      <x:c r="N38" s="57"/>
      <x:c r="O38" s="57"/>
      <x:c r="P38" s="57"/>
      <x:c r="Q38" s="57"/>
      <x:c r="R38" s="57"/>
      <x:c r="S38" s="57"/>
      <x:c r="T38" s="57" t="str">
        <x:v>No</x:v>
      </x:c>
      <x:c r="U38" s="57"/>
      <x:c r="V38" s="57"/>
      <x:c r="W38" s="57"/>
      <x:c r="X38" s="57"/>
      <x:c r="Y38" s="57"/>
      <x:c r="Z38" s="57"/>
      <x:c r="AA38" s="57" t="str">
        <x:v>OK</x:v>
      </x:c>
    </x:row>
    <x:row r="39" ht="15.75" hidden="0" customHeight="1">
      <x:c r="A39" s="57" t="str">
        <x:v>ITEM-TOWEL</x:v>
      </x:c>
      <x:c r="B39" s="57" t="str">
        <x:v>Towel</x:v>
      </x:c>
      <x:c r="C39" s="57" t="str">
        <x:v>tool</x:v>
      </x:c>
      <x:c r="D39" s="57" t="str">
        <x:v>TYPE-ITEM-TOOL</x:v>
      </x:c>
      <x:c r="E39" s="57" t="str">
        <x:v>Physical Product</x:v>
      </x:c>
      <x:c r="F39" s="57" t="str">
        <x:v>CAT-TREAT</x:v>
      </x:c>
      <x:c r="G39" s="57"/>
      <x:c r="H39" s="57" t="str">
        <x:v>No</x:v>
      </x:c>
      <x:c r="I39" s="57" t="str">
        <x:v>No</x:v>
      </x:c>
      <x:c r="J39" s="57"/>
      <x:c r="K39" s="57" t="str">
        <x:v>No</x:v>
      </x:c>
      <x:c r="L39" s="57"/>
      <x:c r="M39" s="57"/>
      <x:c r="N39" s="57"/>
      <x:c r="O39" s="57"/>
      <x:c r="P39" s="57"/>
      <x:c r="Q39" s="57"/>
      <x:c r="R39" s="57"/>
      <x:c r="S39" s="57"/>
      <x:c r="T39" s="57" t="str">
        <x:v>No</x:v>
      </x:c>
      <x:c r="U39" s="57"/>
      <x:c r="V39" s="57"/>
      <x:c r="W39" s="57"/>
      <x:c r="X39" s="57"/>
      <x:c r="Y39" s="57"/>
      <x:c r="Z39" s="57"/>
      <x:c r="AA39" s="57" t="str">
        <x:v>OK</x:v>
      </x:c>
    </x:row>
    <x:row r="40" ht="15.75" hidden="0" customHeight="1">
      <x:c r="A40" s="57" t="str">
        <x:v>ITEM-COURSE-001</x:v>
      </x:c>
      <x:c r="B40" s="57" t="str">
        <x:v>Trigger Ball Basics</x:v>
      </x:c>
      <x:c r="C40" s="57" t="str">
        <x:v>course</x:v>
      </x:c>
      <x:c r="D40" s="57" t="str">
        <x:v>TYPE-ITEM-COURSE</x:v>
      </x:c>
      <x:c r="E40" s="57" t="str">
        <x:v>Digital Product</x:v>
      </x:c>
      <x:c r="F40" s="57" t="str">
        <x:v>CAT-ART</x:v>
      </x:c>
      <x:c r="G40" s="57" t="str">
        <x:v>TAG-PAIN</x:v>
      </x:c>
      <x:c r="H40" s="57" t="str">
        <x:v>Yes</x:v>
      </x:c>
      <x:c r="I40" s="57" t="str">
        <x:v>Yes</x:v>
      </x:c>
      <x:c r="J40" s="57" t="str">
        <x:v>Recovery Tools</x:v>
      </x:c>
      <x:c r="K40" s="57" t="str">
        <x:v>Yes</x:v>
      </x:c>
      <x:c r="L40" s="57"/>
      <x:c r="M40" s="57"/>
      <x:c r="N40" s="57" t="str">
        <x:v>Yes</x:v>
      </x:c>
      <x:c r="O40" s="57" t="str">
        <x:v>Course</x:v>
      </x:c>
      <x:c r="P40" s="57" t="str">
        <x:v>PLAN-TRIGGER-BALL-BASICS</x:v>
      </x:c>
      <x:c r="Q40" s="57" t="str">
        <x:v>COURSE-TRIGGER-BALL-BASICS</x:v>
      </x:c>
      <x:c r="R40" s="57"/>
      <x:c r="S40" s="57" t="str">
        <x:v>Yes</x:v>
      </x:c>
      <x:c r="T40" s="57" t="str">
        <x:v>No</x:v>
      </x:c>
      <x:c r="U40" s="57"/>
      <x:c r="V40" s="57"/>
      <x:c r="W40" s="57"/>
      <x:c r="X40" s="57"/>
      <x:c r="Y40" s="57"/>
      <x:c r="Z40" s="57"/>
      <x:c r="AA40" s="57" t="str">
        <x:v>OK</x:v>
      </x:c>
    </x:row>
    <x:row r="41" ht="15.75" hidden="0" customHeight="1">
      <x:c r="A41" s="57" t="str">
        <x:v>ITEM-TRIGGER-001</x:v>
      </x:c>
      <x:c r="B41" s="57" t="str">
        <x:v>Trigger Ball Upper Trap</x:v>
      </x:c>
      <x:c r="C41" s="57" t="str">
        <x:v>content</x:v>
      </x:c>
      <x:c r="D41" s="57" t="str">
        <x:v>TYPE-ITEM-CONTENT</x:v>
      </x:c>
      <x:c r="E41" s="57" t="str">
        <x:v>Digital Product</x:v>
      </x:c>
      <x:c r="F41" s="57" t="str">
        <x:v>CAT-ART</x:v>
      </x:c>
      <x:c r="G41" s="57" t="str">
        <x:v>TAG-PAIN</x:v>
      </x:c>
      <x:c r="H41" s="57" t="str">
        <x:v>No</x:v>
      </x:c>
      <x:c r="I41" s="57" t="str">
        <x:v>No</x:v>
      </x:c>
      <x:c r="J41" s="57" t="str">
        <x:v>Recovery Tools</x:v>
      </x:c>
      <x:c r="K41" s="57" t="str">
        <x:v>No</x:v>
      </x:c>
      <x:c r="L41" s="57"/>
      <x:c r="M41" s="57"/>
      <x:c r="N41" s="57"/>
      <x:c r="O41" s="57"/>
      <x:c r="P41" s="57"/>
      <x:c r="Q41" s="57"/>
      <x:c r="R41" s="57"/>
      <x:c r="S41" s="57"/>
      <x:c r="T41" s="57"/>
      <x:c r="U41" s="57"/>
      <x:c r="V41" s="57"/>
      <x:c r="W41" s="57"/>
      <x:c r="X41" s="57"/>
      <x:c r="Y41" s="57"/>
      <x:c r="Z41" s="57"/>
      <x:c r="AA41" s="57" t="str">
        <x:v>OK</x:v>
      </x:c>
    </x:row>
    <x:row r="42" ht="15.75" hidden="0" customHeight="1">
      <x:c r="A42" s="57" t="str">
        <x:v>ITEM-BUS-001</x:v>
      </x:c>
      <x:c r="B42" s="57" t="str">
        <x:v>Glossary</x:v>
      </x:c>
      <x:c r="C42" s="57" t="str">
        <x:v>document</x:v>
      </x:c>
      <x:c r="D42" s="57" t="str"/>
      <x:c r="E42" s="57" t="str">
        <x:v>Digital Product</x:v>
      </x:c>
      <x:c r="F42" s="57" t="str">
        <x:v>CAT-BUS-CONT</x:v>
      </x:c>
      <x:c r="G42" s="57" t="str">
        <x:v>TAG-OPERATIONS</x:v>
      </x:c>
      <x:c r="H42" s="57" t="str">
        <x:v>No</x:v>
      </x:c>
      <x:c r="I42" s="57" t="str">
        <x:v>No</x:v>
      </x:c>
      <x:c r="J42" s="57" t="str">
        <x:v>Recovery Tools</x:v>
      </x:c>
      <x:c r="K42" s="57" t="str">
        <x:v>No</x:v>
      </x:c>
      <x:c r="L42" s="57" t="str">
        <x:v>Recovery Tools Definitions</x:v>
      </x:c>
      <x:c r="M42" s="57"/>
      <x:c r="N42" s="57"/>
      <x:c r="O42" s="57"/>
      <x:c r="P42" s="57"/>
      <x:c r="Q42" s="57"/>
      <x:c r="R42" s="57"/>
      <x:c r="S42" s="57"/>
      <x:c r="T42" s="57"/>
      <x:c r="U42" s="57"/>
      <x:c r="V42" s="57"/>
      <x:c r="W42" s="57"/>
      <x:c r="X42" s="57"/>
      <x:c r="Y42" s="57"/>
      <x:c r="Z42" s="57"/>
      <x:c r="AA42" s="57" t="str">
        <x:v>Review TypeID</x:v>
      </x:c>
    </x:row>
    <x:row r="43" ht="15.75" hidden="0" customHeight="1">
      <x:c r="A43" s="57" t="str">
        <x:v>ITEM-SILICONE CUP-01</x:v>
      </x:c>
      <x:c r="B43" s="57" t="str">
        <x:v>Silicone Cup Small</x:v>
      </x:c>
      <x:c r="C43" s="57" t="str">
        <x:v>part</x:v>
      </x:c>
      <x:c r="D43" s="57" t="str">
        <x:v>TYPE-ITEM-PART</x:v>
      </x:c>
      <x:c r="E43" s="57" t="str">
        <x:v>Physical Product</x:v>
      </x:c>
      <x:c r="F43" s="57"/>
      <x:c r="G43" s="57"/>
      <x:c r="H43" s="57" t="str">
        <x:v>Yes</x:v>
      </x:c>
      <x:c r="I43" s="57" t="str">
        <x:v>No</x:v>
      </x:c>
      <x:c r="J43" s="57" t="str">
        <x:v>MOQ</x:v>
      </x:c>
      <x:c r="K43" s="57" t="str">
        <x:v>No</x:v>
      </x:c>
      <x:c r="L43" s="57" t="str">
        <x:v>Small silicone cup</x:v>
      </x:c>
      <x:c r="M43" s="57"/>
      <x:c r="N43" s="57" t="str">
        <x:v>No</x:v>
      </x:c>
      <x:c r="O43" s="57"/>
      <x:c r="P43" s="57"/>
      <x:c r="Q43" s="57"/>
      <x:c r="R43" s="57"/>
      <x:c r="S43" s="57"/>
      <x:c r="T43" s="57" t="str">
        <x:v>Yes</x:v>
      </x:c>
      <x:c r="U43" s="57"/>
      <x:c r="V43" s="57"/>
      <x:c r="W43" s="57"/>
      <x:c r="X43" s="57"/>
      <x:c r="Y43" s="57"/>
      <x:c r="Z43" s="57"/>
      <x:c r="AA43" s="57" t="str">
        <x:v>OK</x:v>
      </x:c>
    </x:row>
    <x:row r="44" ht="15.75" hidden="0" customHeight="1">
      <x:c r="A44" s="57" t="str">
        <x:v>ITEM-SILICONE CUP-02</x:v>
      </x:c>
      <x:c r="B44" s="57" t="str">
        <x:v>Silicone Cup Large</x:v>
      </x:c>
      <x:c r="C44" s="57" t="str">
        <x:v>part</x:v>
      </x:c>
      <x:c r="D44" s="57" t="str">
        <x:v>TYPE-ITEM-PART</x:v>
      </x:c>
      <x:c r="E44" s="57" t="str">
        <x:v>Physical Product</x:v>
      </x:c>
      <x:c r="F44" s="57"/>
      <x:c r="G44" s="57"/>
      <x:c r="H44" s="57" t="str">
        <x:v>Yes</x:v>
      </x:c>
      <x:c r="I44" s="57" t="str">
        <x:v>No</x:v>
      </x:c>
      <x:c r="J44" s="57" t="str">
        <x:v>MOQ</x:v>
      </x:c>
      <x:c r="K44" s="57" t="str">
        <x:v>No</x:v>
      </x:c>
      <x:c r="L44" s="57" t="str">
        <x:v>Large silicone cup</x:v>
      </x:c>
      <x:c r="M44" s="57"/>
      <x:c r="N44" s="57" t="str">
        <x:v>No</x:v>
      </x:c>
      <x:c r="O44" s="57"/>
      <x:c r="P44" s="57"/>
      <x:c r="Q44" s="57"/>
      <x:c r="R44" s="57"/>
      <x:c r="S44" s="57"/>
      <x:c r="T44" s="57" t="str">
        <x:v>Yes</x:v>
      </x:c>
      <x:c r="U44" s="57"/>
      <x:c r="V44" s="57"/>
      <x:c r="W44" s="57"/>
      <x:c r="X44" s="57"/>
      <x:c r="Y44" s="57"/>
      <x:c r="Z44" s="57"/>
      <x:c r="AA44" s="57" t="str">
        <x:v>OK</x:v>
      </x:c>
    </x:row>
    <x:row r="45" ht="15.75" hidden="0" customHeight="1">
      <x:c r="A45" s="57" t="str">
        <x:v>ITEM-HARDCASE-01</x:v>
      </x:c>
      <x:c r="B45" s="57" t="str">
        <x:v>Hard Case</x:v>
      </x:c>
      <x:c r="C45" s="57" t="str">
        <x:v>part</x:v>
      </x:c>
      <x:c r="D45" s="57" t="str">
        <x:v>TYPE-ITEM-PART</x:v>
      </x:c>
      <x:c r="E45" s="57" t="str">
        <x:v>Physical Product</x:v>
      </x:c>
      <x:c r="F45" s="57"/>
      <x:c r="G45" s="57"/>
      <x:c r="H45" s="57" t="str">
        <x:v>Yes</x:v>
      </x:c>
      <x:c r="I45" s="57" t="str">
        <x:v>No</x:v>
      </x:c>
      <x:c r="J45" s="57" t="str">
        <x:v>Bought</x:v>
      </x:c>
      <x:c r="K45" s="57" t="str">
        <x:v>No</x:v>
      </x:c>
      <x:c r="L45" s="57" t="str">
        <x:v>Hard Case to fit Silicone Cups</x:v>
      </x:c>
      <x:c r="M45" s="57"/>
      <x:c r="N45" s="57" t="str">
        <x:v>No</x:v>
      </x:c>
      <x:c r="O45" s="57"/>
      <x:c r="P45" s="57"/>
      <x:c r="Q45" s="57"/>
      <x:c r="R45" s="57"/>
      <x:c r="S45" s="57"/>
      <x:c r="T45" s="57" t="str">
        <x:v>Yes</x:v>
      </x:c>
      <x:c r="U45" s="57"/>
      <x:c r="V45" s="57"/>
      <x:c r="W45" s="57"/>
      <x:c r="X45" s="57"/>
      <x:c r="Y45" s="57"/>
      <x:c r="Z45" s="57"/>
      <x:c r="AA45" s="57" t="str">
        <x:v>OK</x:v>
      </x:c>
    </x:row>
    <x:row r="46" ht="15.75" hidden="0" customHeight="1">
      <x:c r="A46" s="57" t="str">
        <x:v>ITEM-KEYTAG-01</x:v>
      </x:c>
      <x:c r="B46" s="57" t="str">
        <x:v>Key Tag</x:v>
      </x:c>
      <x:c r="C46" s="57" t="str">
        <x:v>part</x:v>
      </x:c>
      <x:c r="D46" s="57" t="str">
        <x:v>TYPE-ITEM-PART</x:v>
      </x:c>
      <x:c r="E46" s="57" t="str">
        <x:v>Physical Product</x:v>
      </x:c>
      <x:c r="F46" s="57"/>
      <x:c r="G46" s="57"/>
      <x:c r="H46" s="57" t="str">
        <x:v>Yes</x:v>
      </x:c>
      <x:c r="I46" s="57" t="str">
        <x:v>No</x:v>
      </x:c>
      <x:c r="J46" s="57" t="str">
        <x:v>Bought</x:v>
      </x:c>
      <x:c r="K46" s="57" t="str">
        <x:v>No</x:v>
      </x:c>
      <x:c r="L46" s="57" t="str">
        <x:v>Key Tag RT engraved</x:v>
      </x:c>
      <x:c r="M46" s="57"/>
      <x:c r="N46" s="57" t="str">
        <x:v>No</x:v>
      </x:c>
      <x:c r="O46" s="57"/>
      <x:c r="P46" s="57"/>
      <x:c r="Q46" s="57"/>
      <x:c r="R46" s="57"/>
      <x:c r="S46" s="57"/>
      <x:c r="T46" s="57" t="str">
        <x:v>Yes</x:v>
      </x:c>
      <x:c r="U46" s="57"/>
      <x:c r="V46" s="57"/>
      <x:c r="W46" s="57"/>
      <x:c r="X46" s="57"/>
      <x:c r="Y46" s="57"/>
      <x:c r="Z46" s="57"/>
      <x:c r="AA46" s="57" t="str">
        <x:v>OK</x:v>
      </x:c>
    </x:row>
    <x:row r="47" ht="15.75" hidden="0" customHeight="1">
      <x:c r="A47" s="57" t="str">
        <x:v>ITEM-PACK-BOX-01</x:v>
      </x:c>
      <x:c r="B47" s="57" t="str">
        <x:v>Box</x:v>
      </x:c>
      <x:c r="C47" s="57" t="str">
        <x:v>part</x:v>
      </x:c>
      <x:c r="D47" s="57" t="str">
        <x:v>TYPE-ITEM-PART</x:v>
      </x:c>
      <x:c r="E47" s="57" t="str">
        <x:v>Physical Product</x:v>
      </x:c>
      <x:c r="F47" s="57"/>
      <x:c r="G47" s="57"/>
      <x:c r="H47" s="57" t="str">
        <x:v>Yes</x:v>
      </x:c>
      <x:c r="I47" s="57" t="str">
        <x:v>No</x:v>
      </x:c>
      <x:c r="J47" s="57" t="str">
        <x:v>Printing</x:v>
      </x:c>
      <x:c r="K47" s="57" t="str">
        <x:v>No</x:v>
      </x:c>
      <x:c r="L47" s="57" t="str">
        <x:v>Packaging Box</x:v>
      </x:c>
      <x:c r="M47" s="57"/>
      <x:c r="N47" s="57" t="str">
        <x:v>No</x:v>
      </x:c>
      <x:c r="O47" s="57"/>
      <x:c r="P47" s="57"/>
      <x:c r="Q47" s="57"/>
      <x:c r="R47" s="57"/>
      <x:c r="S47" s="57"/>
      <x:c r="T47" s="57" t="str">
        <x:v>Yes</x:v>
      </x:c>
      <x:c r="U47" s="57"/>
      <x:c r="V47" s="57"/>
      <x:c r="W47" s="57"/>
      <x:c r="X47" s="57"/>
      <x:c r="Y47" s="57"/>
      <x:c r="Z47" s="57"/>
      <x:c r="AA47" s="57" t="str">
        <x:v>OK</x:v>
      </x:c>
    </x:row>
    <x:row r="48" ht="15.75" hidden="0" customHeight="1">
      <x:c r="A48" s="57" t="str">
        <x:v>ITEM-PACK-BAG-01</x:v>
      </x:c>
      <x:c r="B48" s="57" t="str">
        <x:v>Bag</x:v>
      </x:c>
      <x:c r="C48" s="57" t="str">
        <x:v>part</x:v>
      </x:c>
      <x:c r="D48" s="57" t="str">
        <x:v>TYPE-ITEM-PART</x:v>
      </x:c>
      <x:c r="E48" s="57" t="str">
        <x:v>Physical Product</x:v>
      </x:c>
      <x:c r="F48" s="57"/>
      <x:c r="G48" s="57"/>
      <x:c r="H48" s="57" t="str">
        <x:v>Yes</x:v>
      </x:c>
      <x:c r="I48" s="57" t="str">
        <x:v>No</x:v>
      </x:c>
      <x:c r="J48" s="57" t="str">
        <x:v>Bought</x:v>
      </x:c>
      <x:c r="K48" s="57" t="str">
        <x:v>No</x:v>
      </x:c>
      <x:c r="L48" s="57" t="str">
        <x:v>Packing Bag</x:v>
      </x:c>
      <x:c r="M48" s="57"/>
      <x:c r="N48" s="57" t="str">
        <x:v>No</x:v>
      </x:c>
      <x:c r="O48" s="57"/>
      <x:c r="P48" s="57"/>
      <x:c r="Q48" s="57"/>
      <x:c r="R48" s="57"/>
      <x:c r="S48" s="57"/>
      <x:c r="T48" s="57" t="str">
        <x:v>Yes</x:v>
      </x:c>
      <x:c r="U48" s="57"/>
      <x:c r="V48" s="57"/>
      <x:c r="W48" s="57"/>
      <x:c r="X48" s="57"/>
      <x:c r="Y48" s="57"/>
      <x:c r="Z48" s="57"/>
      <x:c r="AA48" s="57" t="str">
        <x:v>OK</x:v>
      </x:c>
    </x:row>
    <x:row r="49" ht="15.75" hidden="0" customHeight="1">
      <x:c r="A49" s="57" t="str">
        <x:v>ITEM-EPSOM-SALT-STICKER</x:v>
      </x:c>
      <x:c r="B49" s="57" t="str">
        <x:v>Sticker for Epsom Salt</x:v>
      </x:c>
      <x:c r="C49" s="57" t="str">
        <x:v>part</x:v>
      </x:c>
      <x:c r="D49" s="57" t="str">
        <x:v>TYPE-ITEM-PART</x:v>
      </x:c>
      <x:c r="E49" s="57" t="str">
        <x:v>Physical Product</x:v>
      </x:c>
      <x:c r="F49" s="57"/>
      <x:c r="G49" s="57"/>
      <x:c r="H49" s="57" t="str">
        <x:v>Yes</x:v>
      </x:c>
      <x:c r="I49" s="57" t="str">
        <x:v>No</x:v>
      </x:c>
      <x:c r="J49" s="57" t="str">
        <x:v>Bought</x:v>
      </x:c>
      <x:c r="K49" s="57" t="str">
        <x:v>No</x:v>
      </x:c>
      <x:c r="L49" s="57" t="str">
        <x:v>Epsom Salt Sticker</x:v>
      </x:c>
      <x:c r="M49" s="57"/>
      <x:c r="N49" s="57" t="str">
        <x:v>No</x:v>
      </x:c>
      <x:c r="O49" s="57"/>
      <x:c r="P49" s="57"/>
      <x:c r="Q49" s="57"/>
      <x:c r="R49" s="57"/>
      <x:c r="S49" s="57"/>
      <x:c r="T49" s="57" t="str">
        <x:v>Yes</x:v>
      </x:c>
      <x:c r="U49" s="57"/>
      <x:c r="V49" s="57"/>
      <x:c r="W49" s="57"/>
      <x:c r="X49" s="57"/>
      <x:c r="Y49" s="57"/>
      <x:c r="Z49" s="57"/>
      <x:c r="AA49" s="57" t="str">
        <x:v>OK</x:v>
      </x:c>
    </x:row>
    <x:row r="50" ht="15.75" hidden="0" customHeight="1">
      <x:c r="A50" s="57" t="str">
        <x:v>ITEM-STICKER-01</x:v>
      </x:c>
      <x:c r="B50" s="57" t="str">
        <x:v>coloured Vinyl</x:v>
      </x:c>
      <x:c r="C50" s="57" t="str">
        <x:v>part</x:v>
      </x:c>
      <x:c r="D50" s="57" t="str">
        <x:v>TYPE-ITEM-PART</x:v>
      </x:c>
      <x:c r="E50" s="57" t="str">
        <x:v>Physical Product</x:v>
      </x:c>
      <x:c r="F50" s="57"/>
      <x:c r="G50" s="57"/>
      <x:c r="H50" s="57" t="str">
        <x:v>No</x:v>
      </x:c>
      <x:c r="I50" s="57" t="str">
        <x:v>No</x:v>
      </x:c>
      <x:c r="J50" s="57" t="str">
        <x:v>Bought</x:v>
      </x:c>
      <x:c r="K50" s="57" t="str">
        <x:v>No</x:v>
      </x:c>
      <x:c r="L50" s="57" t="str">
        <x:v>Coloured Vinyl Sticker Cut into Circles</x:v>
      </x:c>
      <x:c r="M50" s="57"/>
      <x:c r="N50" s="57" t="str">
        <x:v>No</x:v>
      </x:c>
      <x:c r="O50" s="57"/>
      <x:c r="P50" s="57"/>
      <x:c r="Q50" s="57"/>
      <x:c r="R50" s="57"/>
      <x:c r="S50" s="57"/>
      <x:c r="T50" s="57" t="str">
        <x:v>Yes</x:v>
      </x:c>
      <x:c r="U50" s="57"/>
      <x:c r="V50" s="57"/>
      <x:c r="W50" s="57"/>
      <x:c r="X50" s="57"/>
      <x:c r="Y50" s="57"/>
      <x:c r="Z50" s="57"/>
      <x:c r="AA50" s="57" t="str">
        <x:v>OK</x:v>
      </x:c>
    </x:row>
    <x:row r="51" ht="15.75" hidden="0" customHeight="1">
      <x:c r="A51" s="57" t="str">
        <x:v>ITEM-HEAT-PATCHES-01</x:v>
      </x:c>
      <x:c r="B51" s="57" t="str">
        <x:v>Heat Patch</x:v>
      </x:c>
      <x:c r="C51" s="57" t="str">
        <x:v>part</x:v>
      </x:c>
      <x:c r="D51" s="57" t="str">
        <x:v>TYPE-ITEM-PART</x:v>
      </x:c>
      <x:c r="E51" s="57" t="str">
        <x:v>Physical Product</x:v>
      </x:c>
      <x:c r="F51" s="57"/>
      <x:c r="G51" s="57"/>
      <x:c r="H51" s="57" t="str">
        <x:v>No</x:v>
      </x:c>
      <x:c r="I51" s="57" t="str">
        <x:v>No</x:v>
      </x:c>
      <x:c r="J51" s="57" t="str">
        <x:v>Bought</x:v>
      </x:c>
      <x:c r="K51" s="57" t="str">
        <x:v>No</x:v>
      </x:c>
      <x:c r="L51" s="57" t="str">
        <x:v>Heat Patch, Iron Powder</x:v>
      </x:c>
      <x:c r="M51" s="57"/>
      <x:c r="N51" s="57" t="str">
        <x:v>No</x:v>
      </x:c>
      <x:c r="O51" s="57"/>
      <x:c r="P51" s="57"/>
      <x:c r="Q51" s="57"/>
      <x:c r="R51" s="57"/>
      <x:c r="S51" s="57"/>
      <x:c r="T51" s="57" t="str">
        <x:v>Yes</x:v>
      </x:c>
      <x:c r="U51" s="57"/>
      <x:c r="V51" s="57"/>
      <x:c r="W51" s="57"/>
      <x:c r="X51" s="57"/>
      <x:c r="Y51" s="57"/>
      <x:c r="Z51" s="57"/>
      <x:c r="AA51" s="57" t="str">
        <x:v>OK</x:v>
      </x:c>
    </x:row>
    <x:row r="52" ht="15.75" hidden="0" customHeight="1">
      <x:c r="A52" s="57" t="str">
        <x:v>ITEM-TRIGGER-BALL-01</x:v>
      </x:c>
      <x:c r="B52" s="57" t="str">
        <x:v>Trigger Ball Not Assembled</x:v>
      </x:c>
      <x:c r="C52" s="57" t="str">
        <x:v>part</x:v>
      </x:c>
      <x:c r="D52" s="57" t="str">
        <x:v>TYPE-ITEM-PART</x:v>
      </x:c>
      <x:c r="E52" s="57" t="str">
        <x:v>Physical Product</x:v>
      </x:c>
      <x:c r="F52" s="57"/>
      <x:c r="G52" s="57"/>
      <x:c r="H52" s="57" t="str">
        <x:v>No</x:v>
      </x:c>
      <x:c r="I52" s="57" t="str">
        <x:v>No</x:v>
      </x:c>
      <x:c r="J52" s="57" t="str">
        <x:v>Bought</x:v>
      </x:c>
      <x:c r="K52" s="57" t="str">
        <x:v>No</x:v>
      </x:c>
      <x:c r="L52" s="57" t="str">
        <x:v>Trigger Ball Recovery Tools Logo</x:v>
      </x:c>
      <x:c r="M52" s="57"/>
      <x:c r="N52" s="57" t="str">
        <x:v>No</x:v>
      </x:c>
      <x:c r="O52" s="57"/>
      <x:c r="P52" s="57"/>
      <x:c r="Q52" s="57"/>
      <x:c r="R52" s="57"/>
      <x:c r="S52" s="57"/>
      <x:c r="T52" s="57" t="str">
        <x:v>Yes</x:v>
      </x:c>
      <x:c r="U52" s="57"/>
      <x:c r="V52" s="57"/>
      <x:c r="W52" s="57"/>
      <x:c r="X52" s="57"/>
      <x:c r="Y52" s="57"/>
      <x:c r="Z52" s="57"/>
      <x:c r="AA52" s="57" t="str">
        <x:v>OK</x:v>
      </x:c>
    </x:row>
    <x:row r="53" ht="15.75" hidden="0" customHeight="1">
      <x:c r="A53" s="57" t="str">
        <x:v>ITEM-EPSOM-01</x:v>
      </x:c>
      <x:c r="B53" s="57" t="str">
        <x:v>Epsom Salt</x:v>
      </x:c>
      <x:c r="C53" s="57" t="str">
        <x:v>part</x:v>
      </x:c>
      <x:c r="D53" s="57" t="str">
        <x:v>TYPE-ITEM-PART</x:v>
      </x:c>
      <x:c r="E53" s="57" t="str">
        <x:v>Physical Product</x:v>
      </x:c>
      <x:c r="F53" s="57"/>
      <x:c r="G53" s="57"/>
      <x:c r="H53" s="57" t="str">
        <x:v>No</x:v>
      </x:c>
      <x:c r="I53" s="57" t="str">
        <x:v>No</x:v>
      </x:c>
      <x:c r="J53" s="57" t="str">
        <x:v>Bought</x:v>
      </x:c>
      <x:c r="K53" s="57" t="str">
        <x:v>No</x:v>
      </x:c>
      <x:c r="L53" s="57" t="str">
        <x:v>Epsom Salt Bulk</x:v>
      </x:c>
      <x:c r="M53" s="57"/>
      <x:c r="N53" s="57" t="str">
        <x:v>No</x:v>
      </x:c>
      <x:c r="O53" s="57"/>
      <x:c r="P53" s="57"/>
      <x:c r="Q53" s="57"/>
      <x:c r="R53" s="57"/>
      <x:c r="S53" s="57"/>
      <x:c r="T53" s="57" t="str">
        <x:v>Yes</x:v>
      </x:c>
      <x:c r="U53" s="57"/>
      <x:c r="V53" s="57"/>
      <x:c r="W53" s="57"/>
      <x:c r="X53" s="57"/>
      <x:c r="Y53" s="57"/>
      <x:c r="Z53" s="57"/>
      <x:c r="AA53" s="57" t="str">
        <x:v>OK</x:v>
      </x:c>
    </x:row>
    <x:row r="54" ht="15.75" hidden="0" customHeight="1">
      <x:c r="A54" s="57" t="str">
        <x:v>ITEM-SHIPPING-BAG</x:v>
      </x:c>
      <x:c r="B54" s="57" t="str">
        <x:v>Shipping Bag</x:v>
      </x:c>
      <x:c r="C54" s="57" t="str">
        <x:v>part</x:v>
      </x:c>
      <x:c r="D54" s="57" t="str">
        <x:v>TYPE-ITEM-PART</x:v>
      </x:c>
      <x:c r="E54" s="57" t="str">
        <x:v>Physical Product</x:v>
      </x:c>
      <x:c r="F54" s="57"/>
      <x:c r="G54" s="57"/>
      <x:c r="H54" s="57" t="str">
        <x:v>No</x:v>
      </x:c>
      <x:c r="I54" s="57" t="str">
        <x:v>No</x:v>
      </x:c>
      <x:c r="J54" s="57" t="str">
        <x:v>Bought</x:v>
      </x:c>
      <x:c r="K54" s="57" t="str">
        <x:v>No</x:v>
      </x:c>
      <x:c r="L54" s="57" t="str">
        <x:v>Shipping Bag</x:v>
      </x:c>
      <x:c r="M54" s="57"/>
      <x:c r="N54" s="57" t="str">
        <x:v>No</x:v>
      </x:c>
      <x:c r="O54" s="57"/>
      <x:c r="P54" s="57"/>
      <x:c r="Q54" s="57"/>
      <x:c r="R54" s="57"/>
      <x:c r="S54" s="57"/>
      <x:c r="T54" s="57" t="str">
        <x:v>Yes</x:v>
      </x:c>
      <x:c r="U54" s="57"/>
      <x:c r="V54" s="57"/>
      <x:c r="W54" s="57"/>
      <x:c r="X54" s="57"/>
      <x:c r="Y54" s="57"/>
      <x:c r="Z54" s="57"/>
      <x:c r="AA54" s="57" t="str">
        <x:v>OK</x:v>
      </x:c>
    </x:row>
    <x:row r="55" ht="15.75" hidden="0" customHeight="1">
      <x:c r="A55" s="57" t="str">
        <x:v>ITEM-COMMERCE-POLICY</x:v>
      </x:c>
      <x:c r="B55" s="57" t="str">
        <x:v>Commerce Policy</x:v>
      </x:c>
      <x:c r="C55" s="57" t="str">
        <x:v>policy</x:v>
      </x:c>
      <x:c r="D55" s="57" t="str">
        <x:v>TYPE-ITEM-POLICY</x:v>
      </x:c>
      <x:c r="E55" s="57" t="str">
        <x:v>Digital Product</x:v>
      </x:c>
      <x:c r="F55" s="57" t="str">
        <x:v>CAT-BUS-CONT</x:v>
      </x:c>
      <x:c r="G55" s="57" t="str">
        <x:v>TAG-ECOMMERCE, TAG-WEBSITE, TAG-LEGAL</x:v>
      </x:c>
      <x:c r="H55" s="57" t="str">
        <x:v>No</x:v>
      </x:c>
      <x:c r="I55" s="57" t="str">
        <x:v>No</x:v>
      </x:c>
      <x:c r="J55" s="57" t="str">
        <x:v>Recovery Tools</x:v>
      </x:c>
      <x:c r="K55" s="57" t="str">
        <x:v>Yes</x:v>
      </x:c>
      <x:c r="L55" s="57" t="str">
        <x:v>Commerce Policy</x:v>
      </x:c>
      <x:c r="M55" s="57"/>
      <x:c r="N55" s="57" t="str">
        <x:v>No</x:v>
      </x:c>
      <x:c r="O55" s="57"/>
      <x:c r="P55" s="57"/>
      <x:c r="Q55" s="57"/>
      <x:c r="R55" s="57"/>
      <x:c r="S55" s="57"/>
      <x:c r="T55" s="57" t="str">
        <x:v>No</x:v>
      </x:c>
      <x:c r="U55" s="57"/>
      <x:c r="V55" s="57" t="n">
        <x:v>46209</x:v>
      </x:c>
      <x:c r="W55" s="57"/>
      <x:c r="X55" s="57" t="str">
        <x:v>Recovery Tools</x:v>
      </x:c>
      <x:c r="Y55" s="57" t="str">
        <x:v>Needs source</x:v>
      </x:c>
      <x:c r="Z55" s="57"/>
      <x:c r="AA55" s="57" t="str">
        <x:v>OK</x:v>
      </x:c>
    </x:row>
    <x:row r="56" ht="15.75" hidden="0" customHeight="1">
      <x:c r="A56" s="57" t="str">
        <x:v>ITEM-PARTNER-AGREEMENT</x:v>
      </x:c>
      <x:c r="B56" s="57" t="str">
        <x:v>Partner Agreement</x:v>
      </x:c>
      <x:c r="C56" s="57" t="str">
        <x:v>policy</x:v>
      </x:c>
      <x:c r="D56" s="57" t="str">
        <x:v>TYPE-ITEM-POLICY</x:v>
      </x:c>
      <x:c r="E56" s="57" t="str">
        <x:v>Digital Product</x:v>
      </x:c>
      <x:c r="F56" s="57" t="str">
        <x:v>CAT-BUS-CONT</x:v>
      </x:c>
      <x:c r="G56" s="57" t="str">
        <x:v>TAG-AFFILIATE, TAG-THERAPIST, TAG-PARTNERSHIP, TAG-LEGAL</x:v>
      </x:c>
      <x:c r="H56" s="57" t="str">
        <x:v>No</x:v>
      </x:c>
      <x:c r="I56" s="57" t="str">
        <x:v>No</x:v>
      </x:c>
      <x:c r="J56" s="57" t="str">
        <x:v>Recovery Tools</x:v>
      </x:c>
      <x:c r="K56" s="57" t="str">
        <x:v>Yes</x:v>
      </x:c>
      <x:c r="L56" s="57" t="str">
        <x:v>Partner Agreement</x:v>
      </x:c>
      <x:c r="M56" s="57"/>
      <x:c r="N56" s="57" t="str">
        <x:v>No</x:v>
      </x:c>
      <x:c r="O56" s="57"/>
      <x:c r="P56" s="57"/>
      <x:c r="Q56" s="57"/>
      <x:c r="R56" s="57"/>
      <x:c r="S56" s="57"/>
      <x:c r="T56" s="57" t="str">
        <x:v>No</x:v>
      </x:c>
      <x:c r="U56" s="57"/>
      <x:c r="V56" s="57" t="n">
        <x:v>46209</x:v>
      </x:c>
      <x:c r="W56" s="57"/>
      <x:c r="X56" s="57" t="str">
        <x:v>Recovery Tools</x:v>
      </x:c>
      <x:c r="Y56" s="57" t="str">
        <x:v>Draft source</x:v>
      </x:c>
      <x:c r="Z56" s="57"/>
      <x:c r="AA56" s="57" t="str">
        <x:v>OK</x:v>
      </x:c>
    </x:row>
    <x:row r="57" ht="15.75" hidden="0" customHeight="1">
      <x:c r="A57" s="57" t="str">
        <x:v>ITEM-PRIVACY-POLICY</x:v>
      </x:c>
      <x:c r="B57" s="57" t="str">
        <x:v>Privacy Policy</x:v>
      </x:c>
      <x:c r="C57" s="57" t="str">
        <x:v>policy</x:v>
      </x:c>
      <x:c r="D57" s="57" t="str">
        <x:v>TYPE-ITEM-POLICY</x:v>
      </x:c>
      <x:c r="E57" s="57" t="str">
        <x:v>Digital Product</x:v>
      </x:c>
      <x:c r="F57" s="57" t="str">
        <x:v>CAT-BUS-CONT</x:v>
      </x:c>
      <x:c r="G57" s="57" t="str">
        <x:v>TAG-PRIVACY, TAG-LEGAL, TAG-WEBSITE, TAG-COMPLIANCE</x:v>
      </x:c>
      <x:c r="H57" s="57" t="str">
        <x:v>No</x:v>
      </x:c>
      <x:c r="I57" s="57" t="str">
        <x:v>No</x:v>
      </x:c>
      <x:c r="J57" s="57" t="str">
        <x:v>Recovery Tools</x:v>
      </x:c>
      <x:c r="K57" s="57" t="str">
        <x:v>Yes</x:v>
      </x:c>
      <x:c r="L57" s="57" t="str">
        <x:v>Privacy Policy</x:v>
      </x:c>
      <x:c r="M57" s="57"/>
      <x:c r="N57" s="57" t="str">
        <x:v>No</x:v>
      </x:c>
      <x:c r="O57" s="57"/>
      <x:c r="P57" s="57"/>
      <x:c r="Q57" s="57"/>
      <x:c r="R57" s="57"/>
      <x:c r="S57" s="57"/>
      <x:c r="T57" s="57" t="str">
        <x:v>No</x:v>
      </x:c>
      <x:c r="U57" s="57"/>
      <x:c r="V57" s="57" t="n">
        <x:v>46209</x:v>
      </x:c>
      <x:c r="W57" s="57"/>
      <x:c r="X57" s="57" t="str">
        <x:v>Recovery Tools</x:v>
      </x:c>
      <x:c r="Y57" s="57" t="str">
        <x:v>Verified</x:v>
      </x:c>
      <x:c r="Z57" s="57"/>
      <x:c r="AA57" s="57" t="str">
        <x:v>OK</x:v>
      </x:c>
    </x:row>
    <x:row r="58" ht="15.75" hidden="0" customHeight="1">
      <x:c r="A58" s="57" t="str">
        <x:v>ITEM-TERMS-CONDITIONS</x:v>
      </x:c>
      <x:c r="B58" s="57" t="str">
        <x:v>Terms and Conditions</x:v>
      </x:c>
      <x:c r="C58" s="57" t="str">
        <x:v>policy</x:v>
      </x:c>
      <x:c r="D58" s="57" t="str">
        <x:v>TYPE-ITEM-POLICY</x:v>
      </x:c>
      <x:c r="E58" s="57" t="str">
        <x:v>Digital Product</x:v>
      </x:c>
      <x:c r="F58" s="57" t="str">
        <x:v>CAT-BUS-CONT</x:v>
      </x:c>
      <x:c r="G58" s="57" t="str">
        <x:v>TAG-LEGAL, TAG-WEBSITE, TAG-CUSTOMER</x:v>
      </x:c>
      <x:c r="H58" s="57" t="str">
        <x:v>No</x:v>
      </x:c>
      <x:c r="I58" s="57" t="str">
        <x:v>No</x:v>
      </x:c>
      <x:c r="J58" s="57" t="str">
        <x:v>Recovery Tools</x:v>
      </x:c>
      <x:c r="K58" s="57" t="str">
        <x:v>Yes</x:v>
      </x:c>
      <x:c r="L58" s="57" t="str">
        <x:v>Terms and Conditions</x:v>
      </x:c>
      <x:c r="M58" s="57"/>
      <x:c r="N58" s="57" t="str">
        <x:v>No</x:v>
      </x:c>
      <x:c r="O58" s="57"/>
      <x:c r="P58" s="57"/>
      <x:c r="Q58" s="57"/>
      <x:c r="R58" s="57"/>
      <x:c r="S58" s="57"/>
      <x:c r="T58" s="57" t="str">
        <x:v>No</x:v>
      </x:c>
      <x:c r="U58" s="57"/>
      <x:c r="V58" s="57" t="n">
        <x:v>46209</x:v>
      </x:c>
      <x:c r="W58" s="57"/>
      <x:c r="X58" s="57" t="str">
        <x:v>Recovery Tools</x:v>
      </x:c>
      <x:c r="Y58" s="57" t="str">
        <x:v>Not required</x:v>
      </x:c>
      <x:c r="Z58" s="57"/>
      <x:c r="AA58" s="57" t="str">
        <x:v>OK</x:v>
      </x:c>
    </x:row>
    <x:row r="59" ht="396" hidden="0" customHeight="1">
      <x:c r="A59" s="57" t="str">
        <x:v>ITEM-PHOTO-001</x:v>
      </x:c>
      <x:c r="B59" s="57" t="str">
        <x:v>Product Photography Standards</x:v>
      </x:c>
      <x:c r="C59" s="57" t="str">
        <x:v>standards</x:v>
      </x:c>
      <x:c r="D59" s="57" t="str"/>
      <x:c r="E59" s="57" t="str">
        <x:v>Digital Product</x:v>
      </x:c>
      <x:c r="F59" s="57" t="str">
        <x:v>CAT-BUS-CONT</x:v>
      </x:c>
      <x:c r="G59" s="57"/>
      <x:c r="H59" s="57" t="str">
        <x:v>No</x:v>
      </x:c>
      <x:c r="I59" s="57" t="str">
        <x:v>No</x:v>
      </x:c>
      <x:c r="J59" s="57" t="str">
        <x:v>Recovery Tools</x:v>
      </x:c>
      <x:c r="K59" s="57" t="str">
        <x:v>No</x:v>
      </x:c>
      <x:c r="L59" s="57" t="str">
        <x:v>Product Photography Standards</x:v>
      </x:c>
      <x:c r="M59" s="57" t="str">
        <x:v>Purpose
Provides the standard requirements for photographing physical Recovery Tools products.
Use When
Product photography
Website images
Marketplace listings
Product manuals
Guidelines
Photograph products against a clean, uncluttered background.
Capture the entire product.
Take front, side and angled views.
Include packaging where appropriate.
Photograph accessories together with the product.
Include an "in use" image where it improves understanding.
Maintain consistent framing across similar products.
Recommended Size
Hero: 1600 × 1600 px
Thumbnail: 600 × 600 px
Format
JPG or WebP
Notes
Products should accurately represent what the customer receives.</x:v>
      </x:c>
      <x:c r="N59" s="57" t="str">
        <x:v>No</x:v>
      </x:c>
      <x:c r="O59" s="57"/>
      <x:c r="P59" s="57"/>
      <x:c r="Q59" s="57"/>
      <x:c r="R59" s="57"/>
      <x:c r="S59" s="57"/>
      <x:c r="T59" s="57" t="str">
        <x:v>No</x:v>
      </x:c>
      <x:c r="U59" s="57"/>
      <x:c r="V59" s="57" t="n">
        <x:v>46209</x:v>
      </x:c>
      <x:c r="W59" s="57"/>
      <x:c r="X59" s="57"/>
      <x:c r="Y59" s="57"/>
      <x:c r="Z59" s="57"/>
      <x:c r="AA59" s="57" t="str">
        <x:v>Review TypeID</x:v>
      </x:c>
    </x:row>
    <x:row r="60" ht="192" hidden="0" customHeight="1">
      <x:c r="A60" s="57" t="str">
        <x:v>ITEM-PHOTO-002</x:v>
      </x:c>
      <x:c r="B60" s="57" t="str">
        <x:v>Exercise Photography Standards</x:v>
      </x:c>
      <x:c r="C60" s="57" t="str">
        <x:v>standards</x:v>
      </x:c>
      <x:c r="D60" s="57" t="str"/>
      <x:c r="E60" s="57" t="str">
        <x:v>Digital Product</x:v>
      </x:c>
      <x:c r="F60" s="57" t="str">
        <x:v>CAT-BUS-CONT</x:v>
      </x:c>
      <x:c r="G60" s="57"/>
      <x:c r="H60" s="57" t="str">
        <x:v>No</x:v>
      </x:c>
      <x:c r="I60" s="57" t="str">
        <x:v>No</x:v>
      </x:c>
      <x:c r="J60" s="57" t="str">
        <x:v>Recovery Tools</x:v>
      </x:c>
      <x:c r="K60" s="57" t="str">
        <x:v>No</x:v>
      </x:c>
      <x:c r="L60" s="57" t="str">
        <x:v>Exercise Photography Standards</x:v>
      </x:c>
      <x:c r="M60" s="57" t="str">
        <x:v>Purpose
Provides standards for photographing exercises and recovery activities.
Guidelines
Show the full starting position.
Show the full finishing position.
Ensure the body part being demonstrated is clearly visible.
Keep equipment visible where required.
Remove distractions from the background.
Wear clothing that contrasts with the background.
Recommended Size
1920 × 1080 px</x:v>
      </x:c>
      <x:c r="N60" s="57" t="str">
        <x:v>No</x:v>
      </x:c>
      <x:c r="O60" s="57"/>
      <x:c r="P60" s="57"/>
      <x:c r="Q60" s="57"/>
      <x:c r="R60" s="57"/>
      <x:c r="S60" s="57"/>
      <x:c r="T60" s="57" t="str">
        <x:v>No</x:v>
      </x:c>
      <x:c r="U60" s="57"/>
      <x:c r="V60" s="57" t="n">
        <x:v>46209</x:v>
      </x:c>
      <x:c r="W60" s="57"/>
      <x:c r="X60" s="57"/>
      <x:c r="Y60" s="57"/>
      <x:c r="Z60" s="57"/>
      <x:c r="AA60" s="57" t="str">
        <x:v>Review TypeID</x:v>
      </x:c>
    </x:row>
    <x:row r="61" ht="132" hidden="0" customHeight="1">
      <x:c r="A61" s="57" t="str">
        <x:v>ITEM-PHOTO-003</x:v>
      </x:c>
      <x:c r="B61" s="57" t="str">
        <x:v>Lifestyle Photography Standards</x:v>
      </x:c>
      <x:c r="C61" s="57" t="str">
        <x:v>standards</x:v>
      </x:c>
      <x:c r="D61" s="57" t="str"/>
      <x:c r="E61" s="57" t="str">
        <x:v>Digital Product</x:v>
      </x:c>
      <x:c r="F61" s="57" t="str">
        <x:v>CAT-BUS-CONT</x:v>
      </x:c>
      <x:c r="G61" s="57"/>
      <x:c r="H61" s="57" t="str">
        <x:v>No</x:v>
      </x:c>
      <x:c r="I61" s="57" t="str">
        <x:v>No</x:v>
      </x:c>
      <x:c r="J61" s="57" t="str">
        <x:v>Recovery Tools</x:v>
      </x:c>
      <x:c r="K61" s="57" t="str">
        <x:v>No</x:v>
      </x:c>
      <x:c r="L61" s="57" t="str">
        <x:v>Lifestyle Photography Standards</x:v>
      </x:c>
      <x:c r="M61" s="57" t="str">
        <x:v>Purpose
Guidelines for creating authentic lifestyle photography.
Guidelines
Show products naturally being used.
Create relaxed, believable scenes.
Keep environments clean and tidy.
Avoid staged or unrealistic poses.
Reinforce the Recovery Tools brand.</x:v>
      </x:c>
      <x:c r="N61" s="57" t="str">
        <x:v>No</x:v>
      </x:c>
      <x:c r="O61" s="57"/>
      <x:c r="P61" s="57"/>
      <x:c r="Q61" s="57"/>
      <x:c r="R61" s="57"/>
      <x:c r="S61" s="57"/>
      <x:c r="T61" s="57" t="str">
        <x:v>No</x:v>
      </x:c>
      <x:c r="U61" s="57"/>
      <x:c r="V61" s="57" t="n">
        <x:v>46209</x:v>
      </x:c>
      <x:c r="W61" s="57"/>
      <x:c r="X61" s="57"/>
      <x:c r="Y61" s="57"/>
      <x:c r="Z61" s="57"/>
      <x:c r="AA61" s="57" t="str">
        <x:v>Review TypeID</x:v>
      </x:c>
    </x:row>
    <x:row r="62" ht="240" hidden="0" customHeight="1">
      <x:c r="A62" s="57" t="str">
        <x:v>ITEM-PHOTO-004</x:v>
      </x:c>
      <x:c r="B62" s="57" t="str">
        <x:v>Lighting Guide</x:v>
      </x:c>
      <x:c r="C62" s="57" t="str">
        <x:v>standards</x:v>
      </x:c>
      <x:c r="D62" s="57" t="str"/>
      <x:c r="E62" s="57" t="str">
        <x:v>Digital Product</x:v>
      </x:c>
      <x:c r="F62" s="57" t="str">
        <x:v>CAT-BUS-CONT</x:v>
      </x:c>
      <x:c r="G62" s="57"/>
      <x:c r="H62" s="57" t="str">
        <x:v>No</x:v>
      </x:c>
      <x:c r="I62" s="57" t="str">
        <x:v>No</x:v>
      </x:c>
      <x:c r="J62" s="57" t="str">
        <x:v>Recovery Tools</x:v>
      </x:c>
      <x:c r="K62" s="57" t="str">
        <x:v>No</x:v>
      </x:c>
      <x:c r="L62" s="57" t="str">
        <x:v>Lighting Guide</x:v>
      </x:c>
      <x:c r="M62" s="57" t="str">
        <x:v>Purpose
Provides consistent lighting standards for photography.
Best Practice
Position the main light behind the camera.
If photographing a person, the light should fall onto the front of the subject.
If photographing an object, the light should come from behind the photographer.
Use soft, even lighting whenever possible.
Use natural window light or a softbox where available.
Use a reflector opposite the light source to soften shadows.
Avoid
Lighting behind the subject.
Strong overhead lighting.
Mixed colour temperatures.
Harsh shadows.
Strong reflections.</x:v>
      </x:c>
      <x:c r="N62" s="57" t="str">
        <x:v>No</x:v>
      </x:c>
      <x:c r="O62" s="57"/>
      <x:c r="P62" s="57"/>
      <x:c r="Q62" s="57"/>
      <x:c r="R62" s="57"/>
      <x:c r="S62" s="57"/>
      <x:c r="T62" s="57" t="str">
        <x:v>No</x:v>
      </x:c>
      <x:c r="U62" s="57"/>
      <x:c r="V62" s="57" t="n">
        <x:v>46209</x:v>
      </x:c>
      <x:c r="W62" s="57"/>
      <x:c r="X62" s="57"/>
      <x:c r="Y62" s="57"/>
      <x:c r="Z62" s="57"/>
      <x:c r="AA62" s="57" t="str">
        <x:v>Review TypeID</x:v>
      </x:c>
    </x:row>
    <x:row r="63" ht="348" hidden="0" customHeight="1">
      <x:c r="A63" s="57" t="str">
        <x:v>ITEM-PHOTO-005</x:v>
      </x:c>
      <x:c r="B63" s="57" t="str">
        <x:v>Background Guide</x:v>
      </x:c>
      <x:c r="C63" s="57" t="str">
        <x:v>standards</x:v>
      </x:c>
      <x:c r="D63" s="57" t="str"/>
      <x:c r="E63" s="57" t="str">
        <x:v>Digital Product</x:v>
      </x:c>
      <x:c r="F63" s="57" t="str">
        <x:v>CAT-BUS-CONT</x:v>
      </x:c>
      <x:c r="G63" s="57"/>
      <x:c r="H63" s="57" t="str">
        <x:v>No</x:v>
      </x:c>
      <x:c r="I63" s="57" t="str">
        <x:v>No</x:v>
      </x:c>
      <x:c r="J63" s="57" t="str">
        <x:v>Recovery Tools</x:v>
      </x:c>
      <x:c r="K63" s="57" t="str">
        <x:v>No</x:v>
      </x:c>
      <x:c r="L63" s="57" t="str">
        <x:v>Background Guide</x:v>
      </x:c>
      <x:c r="M63" s="57" t="str">
        <x:v>Purpose
Ensures backgrounds remain professional and free from distractions.
Checklist
✓ Remove rubbish bins.
✓ Remove power cords.
✓ Remove drink bottles.
✓ Remove unnecessary equipment.
✓ Remove clutter.
✓ Ensure walls are clean.
✓ Ensure the background complements the subject.
✓ Leave sufficient space around the subject for cropping.
Preferred Backgrounds
White
Light grey
Neutral clinic wall
Timber bench
Brand-consistent surfaces</x:v>
      </x:c>
      <x:c r="N63" s="57" t="str">
        <x:v>No</x:v>
      </x:c>
      <x:c r="O63" s="57"/>
      <x:c r="P63" s="57"/>
      <x:c r="Q63" s="57"/>
      <x:c r="R63" s="57"/>
      <x:c r="S63" s="57"/>
      <x:c r="T63" s="57" t="str">
        <x:v>No</x:v>
      </x:c>
      <x:c r="U63" s="57"/>
      <x:c r="V63" s="57" t="n">
        <x:v>46209</x:v>
      </x:c>
      <x:c r="W63" s="57"/>
      <x:c r="X63" s="57"/>
      <x:c r="Y63" s="57"/>
      <x:c r="Z63" s="57"/>
      <x:c r="AA63" s="57" t="str">
        <x:v>Review TypeID</x:v>
      </x:c>
    </x:row>
    <x:row r="64" ht="144" hidden="0" customHeight="1">
      <x:c r="A64" s="57" t="str">
        <x:v>ITEM-PHOTO-006</x:v>
      </x:c>
      <x:c r="B64" s="57" t="str">
        <x:v>Camera &amp; Framing Guide</x:v>
      </x:c>
      <x:c r="C64" s="57" t="str">
        <x:v>standards</x:v>
      </x:c>
      <x:c r="D64" s="57" t="str"/>
      <x:c r="E64" s="57" t="str">
        <x:v>Digital Product</x:v>
      </x:c>
      <x:c r="F64" s="57" t="str">
        <x:v>CAT-BUS-CONT</x:v>
      </x:c>
      <x:c r="G64" s="57"/>
      <x:c r="H64" s="57" t="str">
        <x:v>No</x:v>
      </x:c>
      <x:c r="I64" s="57" t="str">
        <x:v>No</x:v>
      </x:c>
      <x:c r="J64" s="57" t="str">
        <x:v>Recovery Tools</x:v>
      </x:c>
      <x:c r="K64" s="57" t="str">
        <x:v>No</x:v>
      </x:c>
      <x:c r="L64" s="57" t="str">
        <x:v>Camera &amp; Framing Guide</x:v>
      </x:c>
      <x:c r="M64" s="57" t="str">
        <x:v>Purpose
Provides framing standards for consistent photography.
Guidelines
Keep the camera level.
Keep vertical lines straight.
Leave room around the subject.
Take wide and close-up shots.
Keep the subject sharp.
Take multiple angles.</x:v>
      </x:c>
      <x:c r="N64" s="57" t="str">
        <x:v>No</x:v>
      </x:c>
      <x:c r="O64" s="57"/>
      <x:c r="P64" s="57"/>
      <x:c r="Q64" s="57"/>
      <x:c r="R64" s="57"/>
      <x:c r="S64" s="57"/>
      <x:c r="T64" s="57" t="str">
        <x:v>No</x:v>
      </x:c>
      <x:c r="U64" s="57"/>
      <x:c r="V64" s="57" t="n">
        <x:v>46209</x:v>
      </x:c>
      <x:c r="W64" s="57"/>
      <x:c r="X64" s="57"/>
      <x:c r="Y64" s="57"/>
      <x:c r="Z64" s="57"/>
      <x:c r="AA64" s="57" t="str">
        <x:v>Review TypeID</x:v>
      </x:c>
    </x:row>
    <x:row r="65" ht="324" hidden="0" customHeight="1">
      <x:c r="A65" s="57" t="str">
        <x:v>ITEM-PHOTO-007</x:v>
      </x:c>
      <x:c r="B65" s="57" t="str">
        <x:v>Editing Guide</x:v>
      </x:c>
      <x:c r="C65" s="57" t="str">
        <x:v>standards</x:v>
      </x:c>
      <x:c r="D65" s="57" t="str"/>
      <x:c r="E65" s="57" t="str">
        <x:v>Digital Product</x:v>
      </x:c>
      <x:c r="F65" s="57" t="str">
        <x:v>CAT-BUS-CONT</x:v>
      </x:c>
      <x:c r="G65" s="57"/>
      <x:c r="H65" s="57" t="str">
        <x:v>No</x:v>
      </x:c>
      <x:c r="I65" s="57" t="str">
        <x:v>No</x:v>
      </x:c>
      <x:c r="J65" s="57" t="str">
        <x:v>Recovery Tools</x:v>
      </x:c>
      <x:c r="K65" s="57" t="str">
        <x:v>No</x:v>
      </x:c>
      <x:c r="L65" s="57" t="str">
        <x:v>Editing Guide</x:v>
      </x:c>
      <x:c r="M65" s="57" t="str">
        <x:v>Purpose
Defines acceptable editing standards.
Allowed
✓ Crop
✓ Straighten
✓ Exposure adjustment
✓ White balance
✓ Resize
✓ Compression
Avoid
✗ Heavy filters
✗ Changing product colours
✗ Removing clinically important information
✗ Over smoothing</x:v>
      </x:c>
      <x:c r="N65" s="57" t="str">
        <x:v>No</x:v>
      </x:c>
      <x:c r="O65" s="57"/>
      <x:c r="P65" s="57"/>
      <x:c r="Q65" s="57"/>
      <x:c r="R65" s="57"/>
      <x:c r="S65" s="57"/>
      <x:c r="T65" s="57" t="str">
        <x:v>No</x:v>
      </x:c>
      <x:c r="U65" s="57"/>
      <x:c r="V65" s="57" t="n">
        <x:v>46209</x:v>
      </x:c>
      <x:c r="W65" s="57"/>
      <x:c r="X65" s="57"/>
      <x:c r="Y65" s="57"/>
      <x:c r="Z65" s="57"/>
      <x:c r="AA65" s="57" t="str">
        <x:v>Review TypeID</x:v>
      </x:c>
    </x:row>
    <x:row r="66" ht="132" hidden="0" customHeight="1">
      <x:c r="A66" s="57" t="str">
        <x:v>ITEM-PHOTO-008</x:v>
      </x:c>
      <x:c r="B66" s="57" t="str">
        <x:v>Export Standards</x:v>
      </x:c>
      <x:c r="C66" s="57" t="str">
        <x:v>standards</x:v>
      </x:c>
      <x:c r="D66" s="57" t="str"/>
      <x:c r="E66" s="57" t="str">
        <x:v>Digital Product</x:v>
      </x:c>
      <x:c r="F66" s="57" t="str">
        <x:v>CAT-BUS-CONT</x:v>
      </x:c>
      <x:c r="G66" s="57"/>
      <x:c r="H66" s="57" t="str">
        <x:v>No</x:v>
      </x:c>
      <x:c r="I66" s="57" t="str">
        <x:v>No</x:v>
      </x:c>
      <x:c r="J66" s="57" t="str">
        <x:v>Recovery Tools</x:v>
      </x:c>
      <x:c r="K66" s="57" t="str">
        <x:v>No</x:v>
      </x:c>
      <x:c r="L66" s="57" t="str">
        <x:v>Export Standards</x:v>
      </x:c>
      <x:c r="M66" s="57" t="str">
        <x:v>Purpose
Defines export settings.
Asset	Size
Product	1600 × 1600
Product Thumbnail	600 × 600
Exercise	1920 × 1080
Exercise Thumbnail	800 × 450
Profile	800 × 800
Profile Thumbnail	300 × 300</x:v>
      </x:c>
      <x:c r="N66" s="57" t="str">
        <x:v>No</x:v>
      </x:c>
      <x:c r="O66" s="57"/>
      <x:c r="P66" s="57"/>
      <x:c r="Q66" s="57"/>
      <x:c r="R66" s="57"/>
      <x:c r="S66" s="57"/>
      <x:c r="T66" s="57" t="str">
        <x:v>No</x:v>
      </x:c>
      <x:c r="U66" s="57"/>
      <x:c r="V66" s="57" t="n">
        <x:v>46209</x:v>
      </x:c>
      <x:c r="W66" s="57"/>
      <x:c r="X66" s="57"/>
      <x:c r="Y66" s="57"/>
      <x:c r="Z66" s="57"/>
      <x:c r="AA66" s="57" t="str">
        <x:v>Review TypeID</x:v>
      </x:c>
    </x:row>
    <x:row r="67" ht="276" hidden="0" customHeight="1">
      <x:c r="A67" s="57" t="str">
        <x:v>ITEM-PHOTO-009</x:v>
      </x:c>
      <x:c r="B67" s="57" t="str">
        <x:v>File Naming Guide</x:v>
      </x:c>
      <x:c r="C67" s="57" t="str">
        <x:v>standards</x:v>
      </x:c>
      <x:c r="D67" s="57" t="str"/>
      <x:c r="E67" s="57" t="str">
        <x:v>Digital Product</x:v>
      </x:c>
      <x:c r="F67" s="57" t="str">
        <x:v>CAT-BUS-CONT</x:v>
      </x:c>
      <x:c r="G67" s="57"/>
      <x:c r="H67" s="57" t="str">
        <x:v>No</x:v>
      </x:c>
      <x:c r="I67" s="57" t="str">
        <x:v>No</x:v>
      </x:c>
      <x:c r="J67" s="57" t="str">
        <x:v>Recovery Tools</x:v>
      </x:c>
      <x:c r="K67" s="57" t="str">
        <x:v>No</x:v>
      </x:c>
      <x:c r="L67" s="57" t="str">
        <x:v>File Naming Guide</x:v>
      </x:c>
      <x:c r="M67" s="57" t="str">
        <x:v>Purpose
Provides consistent naming conventions.
Standard
original.jpg
thumbnail.jpg
preview.jpg
Use:
assets/{AssetID}/
Avoid:
IMG_4829.jpg
final2.jpg
newnewfinal.jpg</x:v>
      </x:c>
      <x:c r="N67" s="57" t="str">
        <x:v>No</x:v>
      </x:c>
      <x:c r="O67" s="57"/>
      <x:c r="P67" s="57"/>
      <x:c r="Q67" s="57"/>
      <x:c r="R67" s="57"/>
      <x:c r="S67" s="57"/>
      <x:c r="T67" s="57" t="str">
        <x:v>No</x:v>
      </x:c>
      <x:c r="U67" s="57"/>
      <x:c r="V67" s="57" t="n">
        <x:v>46209</x:v>
      </x:c>
      <x:c r="W67" s="57"/>
      <x:c r="X67" s="57"/>
      <x:c r="Y67" s="57"/>
      <x:c r="Z67" s="57"/>
      <x:c r="AA67" s="57" t="str">
        <x:v>Review TypeID</x:v>
      </x:c>
    </x:row>
    <x:row r="68" ht="180" hidden="0" customHeight="1">
      <x:c r="A68" s="57" t="str">
        <x:v>ITEM-PHOTO-010</x:v>
      </x:c>
      <x:c r="B68" s="57" t="str">
        <x:v>Alt Text Guide</x:v>
      </x:c>
      <x:c r="C68" s="57" t="str">
        <x:v>standards</x:v>
      </x:c>
      <x:c r="D68" s="57" t="str"/>
      <x:c r="E68" s="57" t="str">
        <x:v>Digital Product</x:v>
      </x:c>
      <x:c r="F68" s="57" t="str">
        <x:v>CAT-BUS-CONT</x:v>
      </x:c>
      <x:c r="G68" s="57"/>
      <x:c r="H68" s="57" t="str">
        <x:v>No</x:v>
      </x:c>
      <x:c r="I68" s="57" t="str">
        <x:v>No</x:v>
      </x:c>
      <x:c r="J68" s="57" t="str">
        <x:v>Recovery Tools</x:v>
      </x:c>
      <x:c r="K68" s="57" t="str">
        <x:v>No</x:v>
      </x:c>
      <x:c r="L68" s="57" t="str">
        <x:v>Alt Text Guide</x:v>
      </x:c>
      <x:c r="M68" s="57" t="str">
        <x:v>Purpose
Ensures every image is accessible.
Good Example
Silicone cupping set with four cups, hard case and recovery balm.
Poor Example
Image.
Product.
Photo.</x:v>
      </x:c>
      <x:c r="N68" s="57" t="str">
        <x:v>No</x:v>
      </x:c>
      <x:c r="O68" s="57"/>
      <x:c r="P68" s="57"/>
      <x:c r="Q68" s="57"/>
      <x:c r="R68" s="57"/>
      <x:c r="S68" s="57"/>
      <x:c r="T68" s="57" t="str">
        <x:v>No</x:v>
      </x:c>
      <x:c r="U68" s="57"/>
      <x:c r="V68" s="57" t="n">
        <x:v>46209</x:v>
      </x:c>
      <x:c r="W68" s="57"/>
      <x:c r="X68" s="57"/>
      <x:c r="Y68" s="57"/>
      <x:c r="Z68" s="57"/>
      <x:c r="AA68" s="57" t="str">
        <x:v>Review TypeID</x:v>
      </x:c>
    </x:row>
  </x:sheetData>
  <x:conditionalFormatting sqref="AA2:AA68">
    <x:cfRule type="expression" dxfId="3" priority="1">
      <x:formula>AA2&lt;&gt;"OK"</x:formula>
    </x:cfRule>
  </x:conditionalFormatting>
  <x:dataValidations count="1">
    <x:dataValidation type="list" allowBlank="1" showDropDown="0" sqref="D2:D68">
      <x:formula1>"TYPE-ITEM-TOOL,TYPE-ITEM-CLINICAL-SUPPLY,TYPE-ITEM-EXERCISE-EQUIPMENT,TYPE-ITEM-COURSE,TYPE-ITEM-FAQ,TYPE-ITEM-WORKSHOP,TYPE-ITEM-CONTENT,TYPE-ITEM-PART,TYPE-ITEM-PROGRAM,TYPE-ITEM-ANATO-ME,TYPE-ITEM-POLICY,TYPE-ITEM-EVENT,TYPE-ITEM-OUTCOME-MEASURE"</x:formula1>
    </x:dataValidation>
  </x:dataValidations>
  <x:pageMargins left="0.7" right="0.7" top="0.75" bottom="0.75" header="0.3" footer="0.3"/>
  <x:tableParts count="1">
    <x:tablePart xmlns:r="http://schemas.openxmlformats.org/officeDocument/2006/relationships" r:id="Rfe0b88e57ff54f28"/>
  </x:tableParts>
</x:worksheet>
</file>

<file path=xl/worksheets/sheet42.xml><?xml version="1.0" encoding="utf-8"?>
<x:worksheet xmlns:x="http://schemas.openxmlformats.org/spreadsheetml/2006/main">
  <x:sheetPr>
    <x:tabColor rgb="FFFFF2CC"/>
  </x:sheetPr>
  <x:sheetFormatPr defaultColWidth="12.630000114440918" defaultRowHeight="15.75"/>
  <x:sheetData>
    <x:row r="1">
      <x:c r="A1" s="1" t="s">
        <x:v>106</x:v>
      </x:c>
      <x:c r="B1" s="1" t="s">
        <x:v>2179</x:v>
      </x:c>
      <x:c r="C1" s="1" t="s">
        <x:v>2368</x:v>
      </x:c>
      <x:c r="D1" s="1" t="s">
        <x:v>2369</x:v>
      </x:c>
      <x:c r="E1" s="1" t="s">
        <x:v>751</x:v>
      </x:c>
      <x:c r="F1" s="1" t="s">
        <x:v>2370</x:v>
      </x:c>
      <x:c r="G1" s="1" t="s">
        <x:v>2371</x:v>
      </x:c>
      <x:c r="H1" s="1" t="s">
        <x:v>2372</x:v>
      </x:c>
      <x:c r="I1" s="1" t="s">
        <x:v>2373</x:v>
      </x:c>
      <x:c r="J1" s="1" t="s">
        <x:v>2374</x:v>
      </x:c>
      <x:c r="K1" s="1" t="s">
        <x:v>2375</x:v>
      </x:c>
      <x:c r="L1" s="1" t="s">
        <x:v>2376</x:v>
      </x:c>
      <x:c r="M1" s="1" t="s">
        <x:v>2377</x:v>
      </x:c>
      <x:c r="N1" s="1" t="s">
        <x:v>2378</x:v>
      </x:c>
      <x:c r="O1" s="1" t="s">
        <x:v>2379</x:v>
      </x:c>
      <x:c r="P1" s="1" t="s">
        <x:v>2380</x:v>
      </x:c>
      <x:c r="Q1" s="1" t="s">
        <x:v>2381</x:v>
      </x:c>
      <x:c r="R1" s="1" t="s">
        <x:v>2382</x:v>
      </x:c>
      <x:c r="S1" s="1" t="s">
        <x:v>2383</x:v>
      </x:c>
      <x:c r="T1" s="1" t="s">
        <x:v>2384</x:v>
      </x:c>
      <x:c r="U1" s="1" t="s">
        <x:v>137</x:v>
      </x:c>
    </x:row>
    <x:row r="2">
      <x:c r="A2" s="1" t="s">
        <x:v>2385</x:v>
      </x:c>
      <x:c r="B2" s="1" t="s">
        <x:v>2386</x:v>
      </x:c>
      <x:c r="C2" s="1" t="s">
        <x:v>2387</x:v>
      </x:c>
      <x:c r="D2" s="1" t="s">
        <x:v>2388</x:v>
      </x:c>
      <x:c r="F2" s="1" t="s">
        <x:v>2241</x:v>
      </x:c>
      <x:c r="G2" s="1" t="s">
        <x:v>656</x:v>
      </x:c>
      <x:c r="H2" s="1" t="s">
        <x:v>2389</x:v>
      </x:c>
      <x:c r="I2" s="1" t="s">
        <x:v>2390</x:v>
      </x:c>
      <x:c r="J2" s="1" t="s">
        <x:v>2390</x:v>
      </x:c>
      <x:c r="K2" s="1" t="s">
        <x:v>2391</x:v>
      </x:c>
      <x:c r="L2" s="1" t="s">
        <x:v>656</x:v>
      </x:c>
      <x:c r="M2" s="1" t="s">
        <x:v>2392</x:v>
      </x:c>
      <x:c r="N2" s="1" t="s">
        <x:v>2393</x:v>
      </x:c>
      <x:c r="O2" s="1" t="s">
        <x:v>2394</x:v>
      </x:c>
      <x:c r="Q2" s="1" t="s">
        <x:v>656</x:v>
      </x:c>
      <x:c r="R2" s="1" t="s">
        <x:v>2395</x:v>
      </x:c>
      <x:c r="U2" s="1" t="s">
        <x:v>2396</x:v>
      </x:c>
    </x:row>
    <x:row r="3">
      <x:c r="A3" s="1" t="s">
        <x:v>2397</x:v>
      </x:c>
      <x:c r="B3" s="1" t="s">
        <x:v>2398</x:v>
      </x:c>
      <x:c r="C3" s="1" t="s">
        <x:v>2399</x:v>
      </x:c>
      <x:c r="D3" s="1" t="s">
        <x:v>2388</x:v>
      </x:c>
      <x:c r="F3" s="1" t="s">
        <x:v>2241</x:v>
      </x:c>
      <x:c r="G3" s="1" t="s">
        <x:v>656</x:v>
      </x:c>
      <x:c r="H3" s="1" t="s">
        <x:v>2400</x:v>
      </x:c>
      <x:c r="I3" s="1" t="s">
        <x:v>2401</x:v>
      </x:c>
      <x:c r="J3" s="1" t="s">
        <x:v>2402</x:v>
      </x:c>
      <x:c r="K3" s="1" t="s">
        <x:v>2391</x:v>
      </x:c>
      <x:c r="L3" s="1" t="s">
        <x:v>656</x:v>
      </x:c>
      <x:c r="M3" s="1" t="s">
        <x:v>2392</x:v>
      </x:c>
      <x:c r="N3" s="1" t="s">
        <x:v>2403</x:v>
      </x:c>
      <x:c r="O3" s="1" t="s">
        <x:v>2404</x:v>
      </x:c>
      <x:c r="Q3" s="1" t="s">
        <x:v>656</x:v>
      </x:c>
      <x:c r="R3" s="1" t="s">
        <x:v>2405</x:v>
      </x:c>
      <x:c r="U3" s="1" t="s">
        <x:v>2406</x:v>
      </x:c>
    </x:row>
    <x:row r="4">
      <x:c r="A4" s="1" t="s">
        <x:v>2407</x:v>
      </x:c>
      <x:c r="B4" s="1" t="s">
        <x:v>2408</x:v>
      </x:c>
      <x:c r="C4" s="1" t="s">
        <x:v>2409</x:v>
      </x:c>
      <x:c r="D4" s="1" t="s">
        <x:v>2388</x:v>
      </x:c>
      <x:c r="F4" s="1" t="s">
        <x:v>656</x:v>
      </x:c>
      <x:c r="G4" s="1" t="s">
        <x:v>656</x:v>
      </x:c>
      <x:c r="H4" s="1" t="s">
        <x:v>2410</x:v>
      </x:c>
      <x:c r="I4" s="1" t="s">
        <x:v>2411</x:v>
      </x:c>
      <x:c r="J4" s="1" t="s">
        <x:v>2412</x:v>
      </x:c>
      <x:c r="K4" s="1" t="s">
        <x:v>2391</x:v>
      </x:c>
      <x:c r="L4" s="1" t="s">
        <x:v>656</x:v>
      </x:c>
      <x:c r="M4" s="1" t="s">
        <x:v>2392</x:v>
      </x:c>
      <x:c r="N4" s="1" t="s">
        <x:v>2413</x:v>
      </x:c>
      <x:c r="O4" s="1" t="s">
        <x:v>2414</x:v>
      </x:c>
      <x:c r="Q4" s="1" t="s">
        <x:v>656</x:v>
      </x:c>
      <x:c r="R4" s="1" t="s">
        <x:v>2415</x:v>
      </x:c>
      <x:c r="U4" s="1" t="s">
        <x:v>2416</x:v>
      </x:c>
    </x:row>
    <x:row r="5">
      <x:c r="A5" s="1" t="s">
        <x:v>2417</x:v>
      </x:c>
      <x:c r="B5" s="1" t="s">
        <x:v>150</x:v>
      </x:c>
      <x:c r="C5" s="1" t="s">
        <x:v>2418</x:v>
      </x:c>
      <x:c r="D5" s="1" t="s">
        <x:v>2388</x:v>
      </x:c>
      <x:c r="F5" s="1" t="s">
        <x:v>2241</x:v>
      </x:c>
      <x:c r="G5" s="1" t="s">
        <x:v>656</x:v>
      </x:c>
      <x:c r="H5" s="1" t="s">
        <x:v>2419</x:v>
      </x:c>
      <x:c r="I5" s="1" t="s">
        <x:v>2420</x:v>
      </x:c>
      <x:c r="J5" s="1" t="s">
        <x:v>2421</x:v>
      </x:c>
      <x:c r="K5" s="1" t="s">
        <x:v>2391</x:v>
      </x:c>
      <x:c r="L5" s="1" t="s">
        <x:v>656</x:v>
      </x:c>
      <x:c r="M5" s="1" t="s">
        <x:v>2392</x:v>
      </x:c>
      <x:c r="N5" s="1" t="s">
        <x:v>2235</x:v>
      </x:c>
      <x:c r="O5" s="1" t="s">
        <x:v>2234</x:v>
      </x:c>
      <x:c r="Q5" s="1" t="s">
        <x:v>656</x:v>
      </x:c>
      <x:c r="R5" s="1" t="s">
        <x:v>2422</x:v>
      </x:c>
      <x:c r="U5" s="1" t="s">
        <x:v>2423</x:v>
      </x:c>
    </x:row>
    <x:row r="6">
      <x:c r="A6" s="1" t="s">
        <x:v>2424</x:v>
      </x:c>
      <x:c r="B6" s="1" t="s">
        <x:v>2425</x:v>
      </x:c>
      <x:c r="C6" s="1" t="s">
        <x:v>2426</x:v>
      </x:c>
      <x:c r="D6" s="1" t="s">
        <x:v>2388</x:v>
      </x:c>
      <x:c r="F6" s="1" t="s">
        <x:v>2241</x:v>
      </x:c>
      <x:c r="G6" s="1" t="s">
        <x:v>656</x:v>
      </x:c>
      <x:c r="H6" s="1" t="s">
        <x:v>2427</x:v>
      </x:c>
      <x:c r="I6" s="1" t="s">
        <x:v>2428</x:v>
      </x:c>
      <x:c r="J6" s="1" t="s">
        <x:v>2429</x:v>
      </x:c>
      <x:c r="K6" s="1" t="s">
        <x:v>2391</x:v>
      </x:c>
      <x:c r="L6" s="1" t="s">
        <x:v>656</x:v>
      </x:c>
      <x:c r="M6" s="1" t="s">
        <x:v>2392</x:v>
      </x:c>
      <x:c r="N6" s="1" t="s">
        <x:v>2430</x:v>
      </x:c>
      <x:c r="O6" s="1" t="s">
        <x:v>2431</x:v>
      </x:c>
      <x:c r="Q6" s="1" t="s">
        <x:v>656</x:v>
      </x:c>
      <x:c r="R6" s="1" t="s">
        <x:v>2432</x:v>
      </x:c>
      <x:c r="U6" s="1" t="s">
        <x:v>2433</x:v>
      </x:c>
    </x:row>
    <x:row r="7">
      <x:c r="A7" s="1" t="s">
        <x:v>2434</x:v>
      </x:c>
      <x:c r="B7" s="1" t="s">
        <x:v>2435</x:v>
      </x:c>
      <x:c r="C7" s="1" t="s">
        <x:v>2236</x:v>
      </x:c>
      <x:c r="D7" s="1" t="s">
        <x:v>2388</x:v>
      </x:c>
      <x:c r="F7" s="1" t="s">
        <x:v>656</x:v>
      </x:c>
      <x:c r="G7" s="1" t="s">
        <x:v>2241</x:v>
      </x:c>
      <x:c r="H7" s="1" t="s">
        <x:v>2436</x:v>
      </x:c>
      <x:c r="I7" s="1" t="s">
        <x:v>2437</x:v>
      </x:c>
      <x:c r="J7" s="1" t="s">
        <x:v>2438</x:v>
      </x:c>
      <x:c r="K7" s="1" t="s">
        <x:v>2391</x:v>
      </x:c>
      <x:c r="L7" s="1" t="s">
        <x:v>656</x:v>
      </x:c>
      <x:c r="M7" s="1" t="s">
        <x:v>2392</x:v>
      </x:c>
      <x:c r="N7" s="1" t="s">
        <x:v>2235</x:v>
      </x:c>
      <x:c r="O7" s="1" t="s">
        <x:v>2234</x:v>
      </x:c>
      <x:c r="P7" s="1"/>
      <x:c r="Q7" s="1" t="s">
        <x:v>656</x:v>
      </x:c>
      <x:c r="R7" s="1" t="s">
        <x:v>2439</x:v>
      </x:c>
      <x:c r="S7" s="1"/>
      <x:c r="T7" s="1"/>
    </x:row>
  </x:sheetData>
  <x:pageMargins left="0.7" right="0.7" top="0.75" bottom="0.75" header="0.3" footer="0.3"/>
</x:worksheet>
</file>

<file path=xl/worksheets/sheet43.xml><?xml version="1.0" encoding="utf-8"?>
<x:worksheet xmlns:x="http://schemas.openxmlformats.org/spreadsheetml/2006/main">
  <x:sheetFormatPr defaultColWidth="12.630000114440918" defaultRowHeight="15.75"/>
  <x:sheetData>
    <x:row r="1">
      <x:c r="A1" s="1" t="s">
        <x:v>104</x:v>
      </x:c>
      <x:c r="B1" s="1" t="s">
        <x:v>106</x:v>
      </x:c>
      <x:c r="C1" s="1" t="s">
        <x:v>2187</x:v>
      </x:c>
      <x:c r="D1" s="1" t="s">
        <x:v>108</x:v>
      </x:c>
      <x:c r="E1" s="1" t="s">
        <x:v>110</x:v>
      </x:c>
      <x:c r="F1" s="1" t="s">
        <x:v>112</x:v>
      </x:c>
      <x:c r="G1" s="1" t="s">
        <x:v>114</x:v>
      </x:c>
      <x:c r="H1" s="1" t="s">
        <x:v>2440</x:v>
      </x:c>
      <x:c r="I1" s="1" t="s">
        <x:v>116</x:v>
      </x:c>
      <x:c r="J1" s="1" t="s">
        <x:v>118</x:v>
      </x:c>
      <x:c r="K1" s="38" t="s">
        <x:v>119</x:v>
      </x:c>
      <x:c r="L1" s="38" t="s">
        <x:v>121</x:v>
      </x:c>
      <x:c r="M1" s="38" t="s">
        <x:v>122</x:v>
      </x:c>
      <x:c r="N1" s="38" t="s">
        <x:v>123</x:v>
      </x:c>
      <x:c r="O1" s="1" t="s">
        <x:v>124</x:v>
      </x:c>
      <x:c r="P1" s="1" t="s">
        <x:v>126</x:v>
      </x:c>
      <x:c r="Q1" s="38" t="s">
        <x:v>128</x:v>
      </x:c>
      <x:c r="R1" s="38" t="s">
        <x:v>129</x:v>
      </x:c>
      <x:c r="S1" s="38" t="s">
        <x:v>131</x:v>
      </x:c>
      <x:c r="T1" s="38" t="s">
        <x:v>132</x:v>
      </x:c>
      <x:c r="U1" s="1" t="s">
        <x:v>2441</x:v>
      </x:c>
      <x:c r="V1" s="1" t="s">
        <x:v>2442</x:v>
      </x:c>
      <x:c r="W1" s="1" t="s">
        <x:v>155</x:v>
      </x:c>
      <x:c r="X1" s="1" t="s">
        <x:v>156</x:v>
      </x:c>
      <x:c r="Y1" s="1" t="s">
        <x:v>135</x:v>
      </x:c>
      <x:c r="Z1" s="1" t="s">
        <x:v>137</x:v>
      </x:c>
    </x:row>
    <x:row r="2">
      <x:c r="A2" s="1" t="s">
        <x:v>2443</x:v>
      </x:c>
      <x:c r="B2" s="1" t="s">
        <x:v>2385</x:v>
      </x:c>
      <x:c r="C2" s="1" t="s">
        <x:v>2444</x:v>
      </x:c>
      <x:c r="D2" s="1" t="s">
        <x:v>2445</x:v>
      </x:c>
      <x:c r="E2" s="7">
        <x:v>15.0</x:v>
      </x:c>
      <x:c r="G2" s="1" t="b">
        <x:v>0</x:v>
      </x:c>
      <x:c r="H2" s="7" t="n">
        <x:f t="shared" ref="H2:H207" si="1">IF(OR(G2=TRUE,G2="Yes"),IF(F2="",E2,F2),E2)</x:f>
        <x:v>15</x:v>
      </x:c>
      <x:c r="I2" s="7">
        <x:v>3.96</x:v>
      </x:c>
      <x:c r="J2" s="1" t="b">
        <x:v>1</x:v>
      </x:c>
      <x:c r="K2" s="39" t="n">
        <x:f t="shared" ref="K2:K167" si="2">IF(OR(J2=TRUE,J2="Yes"),H2/11,0)</x:f>
        <x:v>1.3636363636363635</x:v>
      </x:c>
      <x:c r="L2" s="39" t="n">
        <x:f t="shared" ref="L2:L167" si="3">H2-K2</x:f>
        <x:v>13.636363636363637</x:v>
      </x:c>
      <x:c r="M2" s="39" t="n">
        <x:f t="shared" ref="M2:M167" si="4">L2-I2</x:f>
        <x:v>9.676363636363636</x:v>
      </x:c>
      <x:c r="N2" s="39" t="n">
        <x:f t="shared" ref="N2:N167" si="5">IF(L2=0,0,M2/L2)</x:f>
        <x:v>0.7095999999999999</x:v>
      </x:c>
      <x:c r="O2" s="7">
        <x:v>12.0</x:v>
      </x:c>
      <x:c r="P2" s="7">
        <x:v>3.0</x:v>
      </x:c>
      <x:c r="Q2" s="39" t="n">
        <x:f t="shared" ref="Q2:Q167" si="6">IF(O2="",0,O2-I2-P2)</x:f>
        <x:v>5.039999999999999</x:v>
      </x:c>
      <x:c r="R2" s="39" t="n">
        <x:f t="shared" ref="R2:R167" si="7">M2*0.01</x:f>
        <x:v>0.09676363636363636</x:v>
      </x:c>
      <x:c r="S2" s="39" t="n">
        <x:f t="shared" ref="S2:S167" si="8">Q2*0.5</x:f>
        <x:v>2.5199999999999996</x:v>
      </x:c>
      <x:c r="T2" s="39" t="n">
        <x:f t="shared" ref="T2:T167" si="9">M2*0.5</x:f>
        <x:v>4.838181818181818</x:v>
      </x:c>
      <x:c r="Y2" s="1" t="s">
        <x:v>175</x:v>
      </x:c>
    </x:row>
    <x:row r="3">
      <x:c r="A3" s="1" t="s">
        <x:v>2446</x:v>
      </x:c>
      <x:c r="B3" s="1" t="s">
        <x:v>2397</x:v>
      </x:c>
      <x:c r="C3" s="1"/>
      <x:c r="D3" s="1" t="s">
        <x:v>2445</x:v>
      </x:c>
      <x:c r="E3" s="40">
        <x:v>32.0</x:v>
      </x:c>
      <x:c r="F3" s="40"/>
      <x:c r="G3" s="1" t="b">
        <x:v>0</x:v>
      </x:c>
      <x:c r="H3" s="7">
        <x:f t="shared" si="1"/>
        <x:v>32</x:v>
      </x:c>
      <x:c r="I3" s="40">
        <x:v>11.231</x:v>
      </x:c>
      <x:c r="J3" s="1" t="b">
        <x:v>1</x:v>
      </x:c>
      <x:c r="K3" s="39">
        <x:f t="shared" si="2"/>
        <x:v>2.909090909</x:v>
      </x:c>
      <x:c r="L3" s="39">
        <x:f t="shared" si="3"/>
        <x:v>29.09090909</x:v>
      </x:c>
      <x:c r="M3" s="39">
        <x:f t="shared" si="4"/>
        <x:v>17.85990909</x:v>
      </x:c>
      <x:c r="N3" s="39">
        <x:f t="shared" si="5"/>
        <x:v>0.613934375</x:v>
      </x:c>
      <x:c r="O3" s="40">
        <x:v>25.6</x:v>
      </x:c>
      <x:c r="P3" s="40">
        <x:v>6.4</x:v>
      </x:c>
      <x:c r="Q3" s="39">
        <x:f t="shared" si="6"/>
        <x:v>7.969</x:v>
      </x:c>
      <x:c r="R3" s="39">
        <x:f t="shared" si="7"/>
        <x:v>0.1785990909</x:v>
      </x:c>
      <x:c r="S3" s="39">
        <x:f t="shared" si="8"/>
        <x:v>3.9845</x:v>
      </x:c>
      <x:c r="T3" s="39">
        <x:f t="shared" si="9"/>
        <x:v>8.929954545</x:v>
      </x:c>
      <x:c r="Y3" s="1" t="s">
        <x:v>175</x:v>
      </x:c>
    </x:row>
    <x:row r="4">
      <x:c r="A4" s="1" t="s">
        <x:v>2447</x:v>
      </x:c>
      <x:c r="B4" s="1" t="s">
        <x:v>2407</x:v>
      </x:c>
      <x:c r="C4" s="1"/>
      <x:c r="D4" s="1" t="s">
        <x:v>2445</x:v>
      </x:c>
      <x:c r="E4" s="41">
        <x:v>50.0</x:v>
      </x:c>
      <x:c r="F4" s="41"/>
      <x:c r="G4" s="1" t="b">
        <x:v>0</x:v>
      </x:c>
      <x:c r="H4" s="7">
        <x:f t="shared" si="1"/>
        <x:v>50</x:v>
      </x:c>
      <x:c r="I4" s="37">
        <x:v>24.86</x:v>
      </x:c>
      <x:c r="J4" s="1" t="b">
        <x:v>1</x:v>
      </x:c>
      <x:c r="K4" s="39">
        <x:f t="shared" si="2"/>
        <x:v>4.545454545</x:v>
      </x:c>
      <x:c r="L4" s="39">
        <x:f t="shared" si="3"/>
        <x:v>45.45454545</x:v>
      </x:c>
      <x:c r="M4" s="39">
        <x:f t="shared" si="4"/>
        <x:v>20.59454545</x:v>
      </x:c>
      <x:c r="N4" s="39">
        <x:f t="shared" si="5"/>
        <x:v>0.45308</x:v>
      </x:c>
      <x:c r="O4" s="41" t="n">
        <x:f>E4*0.8</x:f>
        <x:v>40</x:v>
      </x:c>
      <x:c r="P4" s="41" t="n">
        <x:f>E4-O4</x:f>
        <x:v>10</x:v>
      </x:c>
      <x:c r="Q4" s="39">
        <x:f t="shared" si="6"/>
        <x:v>5.14</x:v>
      </x:c>
      <x:c r="R4" s="39">
        <x:f t="shared" si="7"/>
        <x:v>0.2059454545</x:v>
      </x:c>
      <x:c r="S4" s="39">
        <x:f t="shared" si="8"/>
        <x:v>2.57</x:v>
      </x:c>
      <x:c r="T4" s="39">
        <x:f t="shared" si="9"/>
        <x:v>10.29727273</x:v>
      </x:c>
      <x:c r="Y4" s="1" t="s">
        <x:v>175</x:v>
      </x:c>
    </x:row>
    <x:row r="5">
      <x:c r="A5" s="1" t="s">
        <x:v>2448</x:v>
      </x:c>
      <x:c r="B5" s="1" t="s">
        <x:v>2417</x:v>
      </x:c>
      <x:c r="C5" s="1"/>
      <x:c r="D5" s="1" t="s">
        <x:v>2445</x:v>
      </x:c>
      <x:c r="E5" s="40">
        <x:v>15.0</x:v>
      </x:c>
      <x:c r="F5" s="40"/>
      <x:c r="G5" s="1" t="b">
        <x:v>0</x:v>
      </x:c>
      <x:c r="H5" s="7">
        <x:f t="shared" si="1"/>
        <x:v>15</x:v>
      </x:c>
      <x:c r="I5" s="40">
        <x:v>9.218</x:v>
      </x:c>
      <x:c r="J5" s="1" t="b">
        <x:v>1</x:v>
      </x:c>
      <x:c r="K5" s="39">
        <x:f t="shared" si="2"/>
        <x:v>1.363636364</x:v>
      </x:c>
      <x:c r="L5" s="39">
        <x:f t="shared" si="3"/>
        <x:v>13.63636364</x:v>
      </x:c>
      <x:c r="M5" s="39">
        <x:f t="shared" si="4"/>
        <x:v>4.418363636</x:v>
      </x:c>
      <x:c r="N5" s="39">
        <x:f t="shared" si="5"/>
        <x:v>0.3240133333</x:v>
      </x:c>
      <x:c r="O5" s="40">
        <x:v>12.0</x:v>
      </x:c>
      <x:c r="P5" s="40">
        <x:v>3.0</x:v>
      </x:c>
      <x:c r="Q5" s="39">
        <x:f t="shared" si="6"/>
        <x:v>-0.218</x:v>
      </x:c>
      <x:c r="R5" s="39">
        <x:f t="shared" si="7"/>
        <x:v>0.04418363636</x:v>
      </x:c>
      <x:c r="S5" s="39">
        <x:f t="shared" si="8"/>
        <x:v>-0.109</x:v>
      </x:c>
      <x:c r="T5" s="39">
        <x:f t="shared" si="9"/>
        <x:v>2.209181818</x:v>
      </x:c>
      <x:c r="Y5" s="1" t="s">
        <x:v>175</x:v>
      </x:c>
    </x:row>
    <x:row r="6">
      <x:c r="A6" s="1" t="s">
        <x:v>2449</x:v>
      </x:c>
      <x:c r="B6" s="1" t="s">
        <x:v>2424</x:v>
      </x:c>
      <x:c r="C6" s="1"/>
      <x:c r="D6" s="1" t="s">
        <x:v>2445</x:v>
      </x:c>
      <x:c r="E6" s="40">
        <x:v>25.0</x:v>
      </x:c>
      <x:c r="F6" s="40"/>
      <x:c r="G6" s="1" t="b">
        <x:v>0</x:v>
      </x:c>
      <x:c r="H6" s="7">
        <x:f t="shared" si="1"/>
        <x:v>25</x:v>
      </x:c>
      <x:c r="I6" s="40">
        <x:v>11.253</x:v>
      </x:c>
      <x:c r="J6" s="1" t="b">
        <x:v>1</x:v>
      </x:c>
      <x:c r="K6" s="39">
        <x:f t="shared" si="2"/>
        <x:v>2.272727273</x:v>
      </x:c>
      <x:c r="L6" s="39">
        <x:f t="shared" si="3"/>
        <x:v>22.72727273</x:v>
      </x:c>
      <x:c r="M6" s="39">
        <x:f t="shared" si="4"/>
        <x:v>11.47427273</x:v>
      </x:c>
      <x:c r="N6" s="39">
        <x:f t="shared" si="5"/>
        <x:v>0.504868</x:v>
      </x:c>
      <x:c r="O6" s="40">
        <x:v>20.0</x:v>
      </x:c>
      <x:c r="P6" s="40">
        <x:v>5.0</x:v>
      </x:c>
      <x:c r="Q6" s="39">
        <x:f t="shared" si="6"/>
        <x:v>3.747</x:v>
      </x:c>
      <x:c r="R6" s="39">
        <x:f t="shared" si="7"/>
        <x:v>0.1147427273</x:v>
      </x:c>
      <x:c r="S6" s="39">
        <x:f t="shared" si="8"/>
        <x:v>1.8735</x:v>
      </x:c>
      <x:c r="T6" s="39">
        <x:f t="shared" si="9"/>
        <x:v>5.737136364</x:v>
      </x:c>
      <x:c r="Y6" s="1" t="s">
        <x:v>175</x:v>
      </x:c>
    </x:row>
    <x:row r="7">
      <x:c r="A7" s="1" t="s">
        <x:v>2450</x:v>
      </x:c>
      <x:c r="B7" s="1" t="s">
        <x:v>2434</x:v>
      </x:c>
      <x:c r="C7" s="1"/>
      <x:c r="D7" s="1" t="s">
        <x:v>2445</x:v>
      </x:c>
      <x:c r="E7" s="1">
        <x:v>120.0</x:v>
      </x:c>
      <x:c r="F7" s="1"/>
      <x:c r="G7" s="1" t="b">
        <x:v>0</x:v>
      </x:c>
      <x:c r="H7" s="7">
        <x:f t="shared" si="1"/>
        <x:v>120</x:v>
      </x:c>
      <x:c r="J7" s="1" t="b">
        <x:v>1</x:v>
      </x:c>
      <x:c r="K7" s="39">
        <x:f t="shared" si="2"/>
        <x:v>10.90909091</x:v>
      </x:c>
      <x:c r="L7" s="39">
        <x:f t="shared" si="3"/>
        <x:v>109.0909091</x:v>
      </x:c>
      <x:c r="M7" s="39">
        <x:f t="shared" si="4"/>
        <x:v>109.0909091</x:v>
      </x:c>
      <x:c r="N7" s="39">
        <x:f t="shared" si="5"/>
        <x:v>1</x:v>
      </x:c>
      <x:c r="Q7" s="39">
        <x:f t="shared" si="6"/>
        <x:v>0</x:v>
      </x:c>
      <x:c r="R7" s="39">
        <x:f t="shared" si="7"/>
        <x:v>1.090909091</x:v>
      </x:c>
      <x:c r="S7" s="39">
        <x:f t="shared" si="8"/>
        <x:v>0</x:v>
      </x:c>
      <x:c r="T7" s="39">
        <x:f t="shared" si="9"/>
        <x:v>54.54545455</x:v>
      </x:c>
      <x:c r="U7" s="1"/>
      <x:c r="V7" s="1"/>
      <x:c r="Y7" s="1" t="s">
        <x:v>175</x:v>
      </x:c>
    </x:row>
    <x:row r="8">
      <x:c r="H8" s="7" t="str">
        <x:f t="shared" si="1"/>
      </x:c>
      <x:c r="K8" s="39">
        <x:f t="shared" si="2"/>
        <x:v>0</x:v>
      </x:c>
      <x:c r="L8" s="39">
        <x:f t="shared" si="3"/>
        <x:v>0</x:v>
      </x:c>
      <x:c r="M8" s="39">
        <x:f t="shared" si="4"/>
        <x:v>0</x:v>
      </x:c>
      <x:c r="N8" s="39">
        <x:f t="shared" si="5"/>
        <x:v>0</x:v>
      </x:c>
      <x:c r="Q8" s="39">
        <x:f t="shared" si="6"/>
        <x:v>0</x:v>
      </x:c>
      <x:c r="R8" s="39">
        <x:f t="shared" si="7"/>
        <x:v>0</x:v>
      </x:c>
      <x:c r="S8" s="39">
        <x:f t="shared" si="8"/>
        <x:v>0</x:v>
      </x:c>
      <x:c r="T8" s="39">
        <x:f t="shared" si="9"/>
        <x:v>0</x:v>
      </x:c>
    </x:row>
    <x:row r="9">
      <x:c r="H9" s="7" t="str">
        <x:f t="shared" si="1"/>
      </x:c>
      <x:c r="K9" s="39">
        <x:f t="shared" si="2"/>
        <x:v>0</x:v>
      </x:c>
      <x:c r="L9" s="39">
        <x:f t="shared" si="3"/>
        <x:v>0</x:v>
      </x:c>
      <x:c r="M9" s="39">
        <x:f t="shared" si="4"/>
        <x:v>0</x:v>
      </x:c>
      <x:c r="N9" s="39">
        <x:f t="shared" si="5"/>
        <x:v>0</x:v>
      </x:c>
      <x:c r="Q9" s="39">
        <x:f t="shared" si="6"/>
        <x:v>0</x:v>
      </x:c>
      <x:c r="R9" s="39">
        <x:f t="shared" si="7"/>
        <x:v>0</x:v>
      </x:c>
      <x:c r="S9" s="39">
        <x:f t="shared" si="8"/>
        <x:v>0</x:v>
      </x:c>
      <x:c r="T9" s="39">
        <x:f t="shared" si="9"/>
        <x:v>0</x:v>
      </x:c>
    </x:row>
    <x:row r="10">
      <x:c r="H10" s="7" t="str">
        <x:f t="shared" si="1"/>
      </x:c>
      <x:c r="K10" s="39">
        <x:f t="shared" si="2"/>
        <x:v>0</x:v>
      </x:c>
      <x:c r="L10" s="39">
        <x:f t="shared" si="3"/>
        <x:v>0</x:v>
      </x:c>
      <x:c r="M10" s="39">
        <x:f t="shared" si="4"/>
        <x:v>0</x:v>
      </x:c>
      <x:c r="N10" s="39">
        <x:f t="shared" si="5"/>
        <x:v>0</x:v>
      </x:c>
      <x:c r="Q10" s="39">
        <x:f t="shared" si="6"/>
        <x:v>0</x:v>
      </x:c>
      <x:c r="R10" s="39">
        <x:f t="shared" si="7"/>
        <x:v>0</x:v>
      </x:c>
      <x:c r="S10" s="39">
        <x:f t="shared" si="8"/>
        <x:v>0</x:v>
      </x:c>
      <x:c r="T10" s="39">
        <x:f t="shared" si="9"/>
        <x:v>0</x:v>
      </x:c>
    </x:row>
    <x:row r="11">
      <x:c r="H11" s="7" t="str">
        <x:f t="shared" si="1"/>
      </x:c>
      <x:c r="K11" s="39">
        <x:f t="shared" si="2"/>
        <x:v>0</x:v>
      </x:c>
      <x:c r="L11" s="39">
        <x:f t="shared" si="3"/>
        <x:v>0</x:v>
      </x:c>
      <x:c r="M11" s="39">
        <x:f t="shared" si="4"/>
        <x:v>0</x:v>
      </x:c>
      <x:c r="N11" s="39">
        <x:f t="shared" si="5"/>
        <x:v>0</x:v>
      </x:c>
      <x:c r="Q11" s="39">
        <x:f t="shared" si="6"/>
        <x:v>0</x:v>
      </x:c>
      <x:c r="R11" s="39">
        <x:f t="shared" si="7"/>
        <x:v>0</x:v>
      </x:c>
      <x:c r="S11" s="39">
        <x:f t="shared" si="8"/>
        <x:v>0</x:v>
      </x:c>
      <x:c r="T11" s="39">
        <x:f t="shared" si="9"/>
        <x:v>0</x:v>
      </x:c>
    </x:row>
    <x:row r="12">
      <x:c r="H12" s="7" t="str">
        <x:f t="shared" si="1"/>
      </x:c>
      <x:c r="K12" s="39">
        <x:f t="shared" si="2"/>
        <x:v>0</x:v>
      </x:c>
      <x:c r="L12" s="39">
        <x:f t="shared" si="3"/>
        <x:v>0</x:v>
      </x:c>
      <x:c r="M12" s="39">
        <x:f t="shared" si="4"/>
        <x:v>0</x:v>
      </x:c>
      <x:c r="N12" s="39">
        <x:f t="shared" si="5"/>
        <x:v>0</x:v>
      </x:c>
      <x:c r="Q12" s="39">
        <x:f t="shared" si="6"/>
        <x:v>0</x:v>
      </x:c>
      <x:c r="R12" s="39">
        <x:f t="shared" si="7"/>
        <x:v>0</x:v>
      </x:c>
      <x:c r="S12" s="39">
        <x:f t="shared" si="8"/>
        <x:v>0</x:v>
      </x:c>
      <x:c r="T12" s="39">
        <x:f t="shared" si="9"/>
        <x:v>0</x:v>
      </x:c>
    </x:row>
    <x:row r="13">
      <x:c r="H13" s="7" t="str">
        <x:f t="shared" si="1"/>
      </x:c>
      <x:c r="K13" s="39">
        <x:f t="shared" si="2"/>
        <x:v>0</x:v>
      </x:c>
      <x:c r="L13" s="39">
        <x:f t="shared" si="3"/>
        <x:v>0</x:v>
      </x:c>
      <x:c r="M13" s="39">
        <x:f t="shared" si="4"/>
        <x:v>0</x:v>
      </x:c>
      <x:c r="N13" s="39">
        <x:f t="shared" si="5"/>
        <x:v>0</x:v>
      </x:c>
      <x:c r="Q13" s="39">
        <x:f t="shared" si="6"/>
        <x:v>0</x:v>
      </x:c>
      <x:c r="R13" s="39">
        <x:f t="shared" si="7"/>
        <x:v>0</x:v>
      </x:c>
      <x:c r="S13" s="39">
        <x:f t="shared" si="8"/>
        <x:v>0</x:v>
      </x:c>
      <x:c r="T13" s="39">
        <x:f t="shared" si="9"/>
        <x:v>0</x:v>
      </x:c>
    </x:row>
    <x:row r="14">
      <x:c r="H14" s="7" t="str">
        <x:f t="shared" si="1"/>
      </x:c>
      <x:c r="K14" s="39">
        <x:f t="shared" si="2"/>
        <x:v>0</x:v>
      </x:c>
      <x:c r="L14" s="39">
        <x:f t="shared" si="3"/>
        <x:v>0</x:v>
      </x:c>
      <x:c r="M14" s="39">
        <x:f t="shared" si="4"/>
        <x:v>0</x:v>
      </x:c>
      <x:c r="N14" s="39">
        <x:f t="shared" si="5"/>
        <x:v>0</x:v>
      </x:c>
      <x:c r="Q14" s="39">
        <x:f t="shared" si="6"/>
        <x:v>0</x:v>
      </x:c>
      <x:c r="R14" s="39">
        <x:f t="shared" si="7"/>
        <x:v>0</x:v>
      </x:c>
      <x:c r="S14" s="39">
        <x:f t="shared" si="8"/>
        <x:v>0</x:v>
      </x:c>
      <x:c r="T14" s="39">
        <x:f t="shared" si="9"/>
        <x:v>0</x:v>
      </x:c>
    </x:row>
    <x:row r="15">
      <x:c r="H15" s="7" t="str">
        <x:f t="shared" si="1"/>
      </x:c>
      <x:c r="K15" s="39">
        <x:f t="shared" si="2"/>
        <x:v>0</x:v>
      </x:c>
      <x:c r="L15" s="39">
        <x:f t="shared" si="3"/>
        <x:v>0</x:v>
      </x:c>
      <x:c r="M15" s="39">
        <x:f t="shared" si="4"/>
        <x:v>0</x:v>
      </x:c>
      <x:c r="N15" s="39">
        <x:f t="shared" si="5"/>
        <x:v>0</x:v>
      </x:c>
      <x:c r="Q15" s="39">
        <x:f t="shared" si="6"/>
        <x:v>0</x:v>
      </x:c>
      <x:c r="R15" s="39">
        <x:f t="shared" si="7"/>
        <x:v>0</x:v>
      </x:c>
      <x:c r="S15" s="39">
        <x:f t="shared" si="8"/>
        <x:v>0</x:v>
      </x:c>
      <x:c r="T15" s="39">
        <x:f t="shared" si="9"/>
        <x:v>0</x:v>
      </x:c>
    </x:row>
    <x:row r="16">
      <x:c r="H16" s="7" t="str">
        <x:f t="shared" si="1"/>
      </x:c>
      <x:c r="K16" s="39">
        <x:f t="shared" si="2"/>
        <x:v>0</x:v>
      </x:c>
      <x:c r="L16" s="39">
        <x:f t="shared" si="3"/>
        <x:v>0</x:v>
      </x:c>
      <x:c r="M16" s="39">
        <x:f t="shared" si="4"/>
        <x:v>0</x:v>
      </x:c>
      <x:c r="N16" s="39">
        <x:f t="shared" si="5"/>
        <x:v>0</x:v>
      </x:c>
      <x:c r="Q16" s="39">
        <x:f t="shared" si="6"/>
        <x:v>0</x:v>
      </x:c>
      <x:c r="R16" s="39">
        <x:f t="shared" si="7"/>
        <x:v>0</x:v>
      </x:c>
      <x:c r="S16" s="39">
        <x:f t="shared" si="8"/>
        <x:v>0</x:v>
      </x:c>
      <x:c r="T16" s="39">
        <x:f t="shared" si="9"/>
        <x:v>0</x:v>
      </x:c>
    </x:row>
    <x:row r="17">
      <x:c r="H17" s="7" t="str">
        <x:f t="shared" si="1"/>
      </x:c>
      <x:c r="K17" s="39">
        <x:f t="shared" si="2"/>
        <x:v>0</x:v>
      </x:c>
      <x:c r="L17" s="39">
        <x:f t="shared" si="3"/>
        <x:v>0</x:v>
      </x:c>
      <x:c r="M17" s="39">
        <x:f t="shared" si="4"/>
        <x:v>0</x:v>
      </x:c>
      <x:c r="N17" s="39">
        <x:f t="shared" si="5"/>
        <x:v>0</x:v>
      </x:c>
      <x:c r="Q17" s="39">
        <x:f t="shared" si="6"/>
        <x:v>0</x:v>
      </x:c>
      <x:c r="R17" s="39">
        <x:f t="shared" si="7"/>
        <x:v>0</x:v>
      </x:c>
      <x:c r="S17" s="39">
        <x:f t="shared" si="8"/>
        <x:v>0</x:v>
      </x:c>
      <x:c r="T17" s="39">
        <x:f t="shared" si="9"/>
        <x:v>0</x:v>
      </x:c>
    </x:row>
    <x:row r="18">
      <x:c r="H18" s="7" t="str">
        <x:f t="shared" si="1"/>
      </x:c>
      <x:c r="K18" s="39">
        <x:f t="shared" si="2"/>
        <x:v>0</x:v>
      </x:c>
      <x:c r="L18" s="39">
        <x:f t="shared" si="3"/>
        <x:v>0</x:v>
      </x:c>
      <x:c r="M18" s="39">
        <x:f t="shared" si="4"/>
        <x:v>0</x:v>
      </x:c>
      <x:c r="N18" s="39">
        <x:f t="shared" si="5"/>
        <x:v>0</x:v>
      </x:c>
      <x:c r="Q18" s="39">
        <x:f t="shared" si="6"/>
        <x:v>0</x:v>
      </x:c>
      <x:c r="R18" s="39">
        <x:f t="shared" si="7"/>
        <x:v>0</x:v>
      </x:c>
      <x:c r="S18" s="39">
        <x:f t="shared" si="8"/>
        <x:v>0</x:v>
      </x:c>
      <x:c r="T18" s="39">
        <x:f t="shared" si="9"/>
        <x:v>0</x:v>
      </x:c>
    </x:row>
    <x:row r="19">
      <x:c r="H19" s="7" t="str">
        <x:f t="shared" si="1"/>
      </x:c>
      <x:c r="K19" s="39">
        <x:f t="shared" si="2"/>
        <x:v>0</x:v>
      </x:c>
      <x:c r="L19" s="39">
        <x:f t="shared" si="3"/>
        <x:v>0</x:v>
      </x:c>
      <x:c r="M19" s="39">
        <x:f t="shared" si="4"/>
        <x:v>0</x:v>
      </x:c>
      <x:c r="N19" s="39">
        <x:f t="shared" si="5"/>
        <x:v>0</x:v>
      </x:c>
      <x:c r="Q19" s="39">
        <x:f t="shared" si="6"/>
        <x:v>0</x:v>
      </x:c>
      <x:c r="R19" s="39">
        <x:f t="shared" si="7"/>
        <x:v>0</x:v>
      </x:c>
      <x:c r="S19" s="39">
        <x:f t="shared" si="8"/>
        <x:v>0</x:v>
      </x:c>
      <x:c r="T19" s="39">
        <x:f t="shared" si="9"/>
        <x:v>0</x:v>
      </x:c>
    </x:row>
    <x:row r="20">
      <x:c r="H20" s="7" t="str">
        <x:f t="shared" si="1"/>
      </x:c>
      <x:c r="K20" s="39">
        <x:f t="shared" si="2"/>
        <x:v>0</x:v>
      </x:c>
      <x:c r="L20" s="39">
        <x:f t="shared" si="3"/>
        <x:v>0</x:v>
      </x:c>
      <x:c r="M20" s="39">
        <x:f t="shared" si="4"/>
        <x:v>0</x:v>
      </x:c>
      <x:c r="N20" s="39">
        <x:f t="shared" si="5"/>
        <x:v>0</x:v>
      </x:c>
      <x:c r="Q20" s="39">
        <x:f t="shared" si="6"/>
        <x:v>0</x:v>
      </x:c>
      <x:c r="R20" s="39">
        <x:f t="shared" si="7"/>
        <x:v>0</x:v>
      </x:c>
      <x:c r="S20" s="39">
        <x:f t="shared" si="8"/>
        <x:v>0</x:v>
      </x:c>
      <x:c r="T20" s="39">
        <x:f t="shared" si="9"/>
        <x:v>0</x:v>
      </x:c>
    </x:row>
    <x:row r="21">
      <x:c r="H21" s="7" t="str">
        <x:f t="shared" si="1"/>
      </x:c>
      <x:c r="K21" s="39">
        <x:f t="shared" si="2"/>
        <x:v>0</x:v>
      </x:c>
      <x:c r="L21" s="39">
        <x:f t="shared" si="3"/>
        <x:v>0</x:v>
      </x:c>
      <x:c r="M21" s="39">
        <x:f t="shared" si="4"/>
        <x:v>0</x:v>
      </x:c>
      <x:c r="N21" s="39">
        <x:f t="shared" si="5"/>
        <x:v>0</x:v>
      </x:c>
      <x:c r="Q21" s="39">
        <x:f t="shared" si="6"/>
        <x:v>0</x:v>
      </x:c>
      <x:c r="R21" s="39">
        <x:f t="shared" si="7"/>
        <x:v>0</x:v>
      </x:c>
      <x:c r="S21" s="39">
        <x:f t="shared" si="8"/>
        <x:v>0</x:v>
      </x:c>
      <x:c r="T21" s="39">
        <x:f t="shared" si="9"/>
        <x:v>0</x:v>
      </x:c>
    </x:row>
    <x:row r="22">
      <x:c r="H22" s="7" t="str">
        <x:f t="shared" si="1"/>
      </x:c>
      <x:c r="K22" s="39">
        <x:f t="shared" si="2"/>
        <x:v>0</x:v>
      </x:c>
      <x:c r="L22" s="39">
        <x:f t="shared" si="3"/>
        <x:v>0</x:v>
      </x:c>
      <x:c r="M22" s="39">
        <x:f t="shared" si="4"/>
        <x:v>0</x:v>
      </x:c>
      <x:c r="N22" s="39">
        <x:f t="shared" si="5"/>
        <x:v>0</x:v>
      </x:c>
      <x:c r="Q22" s="39">
        <x:f t="shared" si="6"/>
        <x:v>0</x:v>
      </x:c>
      <x:c r="R22" s="39">
        <x:f t="shared" si="7"/>
        <x:v>0</x:v>
      </x:c>
      <x:c r="S22" s="39">
        <x:f t="shared" si="8"/>
        <x:v>0</x:v>
      </x:c>
      <x:c r="T22" s="39">
        <x:f t="shared" si="9"/>
        <x:v>0</x:v>
      </x:c>
    </x:row>
    <x:row r="23">
      <x:c r="H23" s="7" t="str">
        <x:f t="shared" si="1"/>
      </x:c>
      <x:c r="K23" s="39">
        <x:f t="shared" si="2"/>
        <x:v>0</x:v>
      </x:c>
      <x:c r="L23" s="39">
        <x:f t="shared" si="3"/>
        <x:v>0</x:v>
      </x:c>
      <x:c r="M23" s="39">
        <x:f t="shared" si="4"/>
        <x:v>0</x:v>
      </x:c>
      <x:c r="N23" s="39">
        <x:f t="shared" si="5"/>
        <x:v>0</x:v>
      </x:c>
      <x:c r="Q23" s="39">
        <x:f t="shared" si="6"/>
        <x:v>0</x:v>
      </x:c>
      <x:c r="R23" s="39">
        <x:f t="shared" si="7"/>
        <x:v>0</x:v>
      </x:c>
      <x:c r="S23" s="39">
        <x:f t="shared" si="8"/>
        <x:v>0</x:v>
      </x:c>
      <x:c r="T23" s="39">
        <x:f t="shared" si="9"/>
        <x:v>0</x:v>
      </x:c>
    </x:row>
    <x:row r="24">
      <x:c r="H24" s="7" t="str">
        <x:f t="shared" si="1"/>
      </x:c>
      <x:c r="K24" s="39">
        <x:f t="shared" si="2"/>
        <x:v>0</x:v>
      </x:c>
      <x:c r="L24" s="39">
        <x:f t="shared" si="3"/>
        <x:v>0</x:v>
      </x:c>
      <x:c r="M24" s="39">
        <x:f t="shared" si="4"/>
        <x:v>0</x:v>
      </x:c>
      <x:c r="N24" s="39">
        <x:f t="shared" si="5"/>
        <x:v>0</x:v>
      </x:c>
      <x:c r="Q24" s="39">
        <x:f t="shared" si="6"/>
        <x:v>0</x:v>
      </x:c>
      <x:c r="R24" s="39">
        <x:f t="shared" si="7"/>
        <x:v>0</x:v>
      </x:c>
      <x:c r="S24" s="39">
        <x:f t="shared" si="8"/>
        <x:v>0</x:v>
      </x:c>
      <x:c r="T24" s="39">
        <x:f t="shared" si="9"/>
        <x:v>0</x:v>
      </x:c>
    </x:row>
    <x:row r="25">
      <x:c r="H25" s="7" t="str">
        <x:f t="shared" si="1"/>
      </x:c>
      <x:c r="K25" s="39">
        <x:f t="shared" si="2"/>
        <x:v>0</x:v>
      </x:c>
      <x:c r="L25" s="39">
        <x:f t="shared" si="3"/>
        <x:v>0</x:v>
      </x:c>
      <x:c r="M25" s="39">
        <x:f t="shared" si="4"/>
        <x:v>0</x:v>
      </x:c>
      <x:c r="N25" s="39">
        <x:f t="shared" si="5"/>
        <x:v>0</x:v>
      </x:c>
      <x:c r="Q25" s="39">
        <x:f t="shared" si="6"/>
        <x:v>0</x:v>
      </x:c>
      <x:c r="R25" s="39">
        <x:f t="shared" si="7"/>
        <x:v>0</x:v>
      </x:c>
      <x:c r="S25" s="39">
        <x:f t="shared" si="8"/>
        <x:v>0</x:v>
      </x:c>
      <x:c r="T25" s="39">
        <x:f t="shared" si="9"/>
        <x:v>0</x:v>
      </x:c>
    </x:row>
    <x:row r="26">
      <x:c r="H26" s="7" t="str">
        <x:f t="shared" si="1"/>
      </x:c>
      <x:c r="K26" s="39">
        <x:f t="shared" si="2"/>
        <x:v>0</x:v>
      </x:c>
      <x:c r="L26" s="39">
        <x:f t="shared" si="3"/>
        <x:v>0</x:v>
      </x:c>
      <x:c r="M26" s="39">
        <x:f t="shared" si="4"/>
        <x:v>0</x:v>
      </x:c>
      <x:c r="N26" s="39">
        <x:f t="shared" si="5"/>
        <x:v>0</x:v>
      </x:c>
      <x:c r="Q26" s="39">
        <x:f t="shared" si="6"/>
        <x:v>0</x:v>
      </x:c>
      <x:c r="R26" s="39">
        <x:f t="shared" si="7"/>
        <x:v>0</x:v>
      </x:c>
      <x:c r="S26" s="39">
        <x:f t="shared" si="8"/>
        <x:v>0</x:v>
      </x:c>
      <x:c r="T26" s="39">
        <x:f t="shared" si="9"/>
        <x:v>0</x:v>
      </x:c>
    </x:row>
    <x:row r="27">
      <x:c r="H27" s="7" t="str">
        <x:f t="shared" si="1"/>
      </x:c>
      <x:c r="K27" s="39">
        <x:f t="shared" si="2"/>
        <x:v>0</x:v>
      </x:c>
      <x:c r="L27" s="39">
        <x:f t="shared" si="3"/>
        <x:v>0</x:v>
      </x:c>
      <x:c r="M27" s="39">
        <x:f t="shared" si="4"/>
        <x:v>0</x:v>
      </x:c>
      <x:c r="N27" s="39">
        <x:f t="shared" si="5"/>
        <x:v>0</x:v>
      </x:c>
      <x:c r="Q27" s="39">
        <x:f t="shared" si="6"/>
        <x:v>0</x:v>
      </x:c>
      <x:c r="R27" s="39">
        <x:f t="shared" si="7"/>
        <x:v>0</x:v>
      </x:c>
      <x:c r="S27" s="39">
        <x:f t="shared" si="8"/>
        <x:v>0</x:v>
      </x:c>
      <x:c r="T27" s="39">
        <x:f t="shared" si="9"/>
        <x:v>0</x:v>
      </x:c>
    </x:row>
    <x:row r="28">
      <x:c r="H28" s="7" t="str">
        <x:f t="shared" si="1"/>
      </x:c>
      <x:c r="K28" s="39">
        <x:f t="shared" si="2"/>
        <x:v>0</x:v>
      </x:c>
      <x:c r="L28" s="39">
        <x:f t="shared" si="3"/>
        <x:v>0</x:v>
      </x:c>
      <x:c r="M28" s="39">
        <x:f t="shared" si="4"/>
        <x:v>0</x:v>
      </x:c>
      <x:c r="N28" s="39">
        <x:f t="shared" si="5"/>
        <x:v>0</x:v>
      </x:c>
      <x:c r="Q28" s="39">
        <x:f t="shared" si="6"/>
        <x:v>0</x:v>
      </x:c>
      <x:c r="R28" s="39">
        <x:f t="shared" si="7"/>
        <x:v>0</x:v>
      </x:c>
      <x:c r="S28" s="39">
        <x:f t="shared" si="8"/>
        <x:v>0</x:v>
      </x:c>
      <x:c r="T28" s="39">
        <x:f t="shared" si="9"/>
        <x:v>0</x:v>
      </x:c>
    </x:row>
    <x:row r="29">
      <x:c r="H29" s="7" t="str">
        <x:f t="shared" si="1"/>
      </x:c>
      <x:c r="K29" s="39">
        <x:f t="shared" si="2"/>
        <x:v>0</x:v>
      </x:c>
      <x:c r="L29" s="39">
        <x:f t="shared" si="3"/>
        <x:v>0</x:v>
      </x:c>
      <x:c r="M29" s="39">
        <x:f t="shared" si="4"/>
        <x:v>0</x:v>
      </x:c>
      <x:c r="N29" s="39">
        <x:f t="shared" si="5"/>
        <x:v>0</x:v>
      </x:c>
      <x:c r="Q29" s="39">
        <x:f t="shared" si="6"/>
        <x:v>0</x:v>
      </x:c>
      <x:c r="R29" s="39">
        <x:f t="shared" si="7"/>
        <x:v>0</x:v>
      </x:c>
      <x:c r="S29" s="39">
        <x:f t="shared" si="8"/>
        <x:v>0</x:v>
      </x:c>
      <x:c r="T29" s="39">
        <x:f t="shared" si="9"/>
        <x:v>0</x:v>
      </x:c>
    </x:row>
    <x:row r="30">
      <x:c r="H30" s="7" t="str">
        <x:f t="shared" si="1"/>
      </x:c>
      <x:c r="K30" s="39">
        <x:f t="shared" si="2"/>
        <x:v>0</x:v>
      </x:c>
      <x:c r="L30" s="39">
        <x:f t="shared" si="3"/>
        <x:v>0</x:v>
      </x:c>
      <x:c r="M30" s="39">
        <x:f t="shared" si="4"/>
        <x:v>0</x:v>
      </x:c>
      <x:c r="N30" s="39">
        <x:f t="shared" si="5"/>
        <x:v>0</x:v>
      </x:c>
      <x:c r="Q30" s="39">
        <x:f t="shared" si="6"/>
        <x:v>0</x:v>
      </x:c>
      <x:c r="R30" s="39">
        <x:f t="shared" si="7"/>
        <x:v>0</x:v>
      </x:c>
      <x:c r="S30" s="39">
        <x:f t="shared" si="8"/>
        <x:v>0</x:v>
      </x:c>
      <x:c r="T30" s="39">
        <x:f t="shared" si="9"/>
        <x:v>0</x:v>
      </x:c>
    </x:row>
    <x:row r="31">
      <x:c r="H31" s="7" t="str">
        <x:f t="shared" si="1"/>
      </x:c>
      <x:c r="K31" s="39">
        <x:f t="shared" si="2"/>
        <x:v>0</x:v>
      </x:c>
      <x:c r="L31" s="39">
        <x:f t="shared" si="3"/>
        <x:v>0</x:v>
      </x:c>
      <x:c r="M31" s="39">
        <x:f t="shared" si="4"/>
        <x:v>0</x:v>
      </x:c>
      <x:c r="N31" s="39">
        <x:f t="shared" si="5"/>
        <x:v>0</x:v>
      </x:c>
      <x:c r="Q31" s="39">
        <x:f t="shared" si="6"/>
        <x:v>0</x:v>
      </x:c>
      <x:c r="R31" s="39">
        <x:f t="shared" si="7"/>
        <x:v>0</x:v>
      </x:c>
      <x:c r="S31" s="39">
        <x:f t="shared" si="8"/>
        <x:v>0</x:v>
      </x:c>
      <x:c r="T31" s="39">
        <x:f t="shared" si="9"/>
        <x:v>0</x:v>
      </x:c>
    </x:row>
    <x:row r="32">
      <x:c r="H32" s="7" t="str">
        <x:f t="shared" si="1"/>
      </x:c>
      <x:c r="K32" s="39">
        <x:f t="shared" si="2"/>
        <x:v>0</x:v>
      </x:c>
      <x:c r="L32" s="39">
        <x:f t="shared" si="3"/>
        <x:v>0</x:v>
      </x:c>
      <x:c r="M32" s="39">
        <x:f t="shared" si="4"/>
        <x:v>0</x:v>
      </x:c>
      <x:c r="N32" s="39">
        <x:f t="shared" si="5"/>
        <x:v>0</x:v>
      </x:c>
      <x:c r="Q32" s="39">
        <x:f t="shared" si="6"/>
        <x:v>0</x:v>
      </x:c>
      <x:c r="R32" s="39">
        <x:f t="shared" si="7"/>
        <x:v>0</x:v>
      </x:c>
      <x:c r="S32" s="39">
        <x:f t="shared" si="8"/>
        <x:v>0</x:v>
      </x:c>
      <x:c r="T32" s="39">
        <x:f t="shared" si="9"/>
        <x:v>0</x:v>
      </x:c>
    </x:row>
    <x:row r="33">
      <x:c r="H33" s="7" t="str">
        <x:f t="shared" si="1"/>
      </x:c>
      <x:c r="K33" s="39">
        <x:f t="shared" si="2"/>
        <x:v>0</x:v>
      </x:c>
      <x:c r="L33" s="39">
        <x:f t="shared" si="3"/>
        <x:v>0</x:v>
      </x:c>
      <x:c r="M33" s="39">
        <x:f t="shared" si="4"/>
        <x:v>0</x:v>
      </x:c>
      <x:c r="N33" s="39">
        <x:f t="shared" si="5"/>
        <x:v>0</x:v>
      </x:c>
      <x:c r="Q33" s="39">
        <x:f t="shared" si="6"/>
        <x:v>0</x:v>
      </x:c>
      <x:c r="R33" s="39">
        <x:f t="shared" si="7"/>
        <x:v>0</x:v>
      </x:c>
      <x:c r="S33" s="39">
        <x:f t="shared" si="8"/>
        <x:v>0</x:v>
      </x:c>
      <x:c r="T33" s="39">
        <x:f t="shared" si="9"/>
        <x:v>0</x:v>
      </x:c>
    </x:row>
    <x:row r="34">
      <x:c r="H34" s="7" t="str">
        <x:f t="shared" si="1"/>
      </x:c>
      <x:c r="K34" s="39">
        <x:f t="shared" si="2"/>
        <x:v>0</x:v>
      </x:c>
      <x:c r="L34" s="39">
        <x:f t="shared" si="3"/>
        <x:v>0</x:v>
      </x:c>
      <x:c r="M34" s="39">
        <x:f t="shared" si="4"/>
        <x:v>0</x:v>
      </x:c>
      <x:c r="N34" s="39">
        <x:f t="shared" si="5"/>
        <x:v>0</x:v>
      </x:c>
      <x:c r="Q34" s="39">
        <x:f t="shared" si="6"/>
        <x:v>0</x:v>
      </x:c>
      <x:c r="R34" s="39">
        <x:f t="shared" si="7"/>
        <x:v>0</x:v>
      </x:c>
      <x:c r="S34" s="39">
        <x:f t="shared" si="8"/>
        <x:v>0</x:v>
      </x:c>
      <x:c r="T34" s="39">
        <x:f t="shared" si="9"/>
        <x:v>0</x:v>
      </x:c>
    </x:row>
    <x:row r="35">
      <x:c r="H35" s="7" t="str">
        <x:f t="shared" si="1"/>
      </x:c>
      <x:c r="K35" s="39">
        <x:f t="shared" si="2"/>
        <x:v>0</x:v>
      </x:c>
      <x:c r="L35" s="39">
        <x:f t="shared" si="3"/>
        <x:v>0</x:v>
      </x:c>
      <x:c r="M35" s="39">
        <x:f t="shared" si="4"/>
        <x:v>0</x:v>
      </x:c>
      <x:c r="N35" s="39">
        <x:f t="shared" si="5"/>
        <x:v>0</x:v>
      </x:c>
      <x:c r="Q35" s="39">
        <x:f t="shared" si="6"/>
        <x:v>0</x:v>
      </x:c>
      <x:c r="R35" s="39">
        <x:f t="shared" si="7"/>
        <x:v>0</x:v>
      </x:c>
      <x:c r="S35" s="39">
        <x:f t="shared" si="8"/>
        <x:v>0</x:v>
      </x:c>
      <x:c r="T35" s="39">
        <x:f t="shared" si="9"/>
        <x:v>0</x:v>
      </x:c>
    </x:row>
    <x:row r="36">
      <x:c r="H36" s="7" t="str">
        <x:f t="shared" si="1"/>
      </x:c>
      <x:c r="K36" s="39">
        <x:f t="shared" si="2"/>
        <x:v>0</x:v>
      </x:c>
      <x:c r="L36" s="39">
        <x:f t="shared" si="3"/>
        <x:v>0</x:v>
      </x:c>
      <x:c r="M36" s="39">
        <x:f t="shared" si="4"/>
        <x:v>0</x:v>
      </x:c>
      <x:c r="N36" s="39">
        <x:f t="shared" si="5"/>
        <x:v>0</x:v>
      </x:c>
      <x:c r="Q36" s="39">
        <x:f t="shared" si="6"/>
        <x:v>0</x:v>
      </x:c>
      <x:c r="R36" s="39">
        <x:f t="shared" si="7"/>
        <x:v>0</x:v>
      </x:c>
      <x:c r="S36" s="39">
        <x:f t="shared" si="8"/>
        <x:v>0</x:v>
      </x:c>
      <x:c r="T36" s="39">
        <x:f t="shared" si="9"/>
        <x:v>0</x:v>
      </x:c>
    </x:row>
    <x:row r="37">
      <x:c r="H37" s="7" t="str">
        <x:f t="shared" si="1"/>
      </x:c>
      <x:c r="K37" s="39">
        <x:f t="shared" si="2"/>
        <x:v>0</x:v>
      </x:c>
      <x:c r="L37" s="39">
        <x:f t="shared" si="3"/>
        <x:v>0</x:v>
      </x:c>
      <x:c r="M37" s="39">
        <x:f t="shared" si="4"/>
        <x:v>0</x:v>
      </x:c>
      <x:c r="N37" s="39">
        <x:f t="shared" si="5"/>
        <x:v>0</x:v>
      </x:c>
      <x:c r="Q37" s="39">
        <x:f t="shared" si="6"/>
        <x:v>0</x:v>
      </x:c>
      <x:c r="R37" s="39">
        <x:f t="shared" si="7"/>
        <x:v>0</x:v>
      </x:c>
      <x:c r="S37" s="39">
        <x:f t="shared" si="8"/>
        <x:v>0</x:v>
      </x:c>
      <x:c r="T37" s="39">
        <x:f t="shared" si="9"/>
        <x:v>0</x:v>
      </x:c>
    </x:row>
    <x:row r="38">
      <x:c r="H38" s="7" t="str">
        <x:f t="shared" si="1"/>
      </x:c>
      <x:c r="K38" s="39">
        <x:f t="shared" si="2"/>
        <x:v>0</x:v>
      </x:c>
      <x:c r="L38" s="39">
        <x:f t="shared" si="3"/>
        <x:v>0</x:v>
      </x:c>
      <x:c r="M38" s="39">
        <x:f t="shared" si="4"/>
        <x:v>0</x:v>
      </x:c>
      <x:c r="N38" s="39">
        <x:f t="shared" si="5"/>
        <x:v>0</x:v>
      </x:c>
      <x:c r="Q38" s="39">
        <x:f t="shared" si="6"/>
        <x:v>0</x:v>
      </x:c>
      <x:c r="R38" s="39">
        <x:f t="shared" si="7"/>
        <x:v>0</x:v>
      </x:c>
      <x:c r="S38" s="39">
        <x:f t="shared" si="8"/>
        <x:v>0</x:v>
      </x:c>
      <x:c r="T38" s="39">
        <x:f t="shared" si="9"/>
        <x:v>0</x:v>
      </x:c>
    </x:row>
    <x:row r="39">
      <x:c r="H39" s="7" t="str">
        <x:f t="shared" si="1"/>
      </x:c>
      <x:c r="K39" s="39">
        <x:f t="shared" si="2"/>
        <x:v>0</x:v>
      </x:c>
      <x:c r="L39" s="39">
        <x:f t="shared" si="3"/>
        <x:v>0</x:v>
      </x:c>
      <x:c r="M39" s="39">
        <x:f t="shared" si="4"/>
        <x:v>0</x:v>
      </x:c>
      <x:c r="N39" s="39">
        <x:f t="shared" si="5"/>
        <x:v>0</x:v>
      </x:c>
      <x:c r="Q39" s="39">
        <x:f t="shared" si="6"/>
        <x:v>0</x:v>
      </x:c>
      <x:c r="R39" s="39">
        <x:f t="shared" si="7"/>
        <x:v>0</x:v>
      </x:c>
      <x:c r="S39" s="39">
        <x:f t="shared" si="8"/>
        <x:v>0</x:v>
      </x:c>
      <x:c r="T39" s="39">
        <x:f t="shared" si="9"/>
        <x:v>0</x:v>
      </x:c>
    </x:row>
    <x:row r="40">
      <x:c r="H40" s="7" t="str">
        <x:f t="shared" si="1"/>
      </x:c>
      <x:c r="K40" s="39">
        <x:f t="shared" si="2"/>
        <x:v>0</x:v>
      </x:c>
      <x:c r="L40" s="39">
        <x:f t="shared" si="3"/>
        <x:v>0</x:v>
      </x:c>
      <x:c r="M40" s="39">
        <x:f t="shared" si="4"/>
        <x:v>0</x:v>
      </x:c>
      <x:c r="N40" s="39">
        <x:f t="shared" si="5"/>
        <x:v>0</x:v>
      </x:c>
      <x:c r="Q40" s="39">
        <x:f t="shared" si="6"/>
        <x:v>0</x:v>
      </x:c>
      <x:c r="R40" s="39">
        <x:f t="shared" si="7"/>
        <x:v>0</x:v>
      </x:c>
      <x:c r="S40" s="39">
        <x:f t="shared" si="8"/>
        <x:v>0</x:v>
      </x:c>
      <x:c r="T40" s="39">
        <x:f t="shared" si="9"/>
        <x:v>0</x:v>
      </x:c>
    </x:row>
    <x:row r="41">
      <x:c r="H41" s="7" t="str">
        <x:f t="shared" si="1"/>
      </x:c>
      <x:c r="K41" s="39">
        <x:f t="shared" si="2"/>
        <x:v>0</x:v>
      </x:c>
      <x:c r="L41" s="39">
        <x:f t="shared" si="3"/>
        <x:v>0</x:v>
      </x:c>
      <x:c r="M41" s="39">
        <x:f t="shared" si="4"/>
        <x:v>0</x:v>
      </x:c>
      <x:c r="N41" s="39">
        <x:f t="shared" si="5"/>
        <x:v>0</x:v>
      </x:c>
      <x:c r="Q41" s="39">
        <x:f t="shared" si="6"/>
        <x:v>0</x:v>
      </x:c>
      <x:c r="R41" s="39">
        <x:f t="shared" si="7"/>
        <x:v>0</x:v>
      </x:c>
      <x:c r="S41" s="39">
        <x:f t="shared" si="8"/>
        <x:v>0</x:v>
      </x:c>
      <x:c r="T41" s="39">
        <x:f t="shared" si="9"/>
        <x:v>0</x:v>
      </x:c>
    </x:row>
    <x:row r="42">
      <x:c r="H42" s="7" t="str">
        <x:f t="shared" si="1"/>
      </x:c>
      <x:c r="K42" s="39">
        <x:f t="shared" si="2"/>
        <x:v>0</x:v>
      </x:c>
      <x:c r="L42" s="39">
        <x:f t="shared" si="3"/>
        <x:v>0</x:v>
      </x:c>
      <x:c r="M42" s="39">
        <x:f t="shared" si="4"/>
        <x:v>0</x:v>
      </x:c>
      <x:c r="N42" s="39">
        <x:f t="shared" si="5"/>
        <x:v>0</x:v>
      </x:c>
      <x:c r="Q42" s="39">
        <x:f t="shared" si="6"/>
        <x:v>0</x:v>
      </x:c>
      <x:c r="R42" s="39">
        <x:f t="shared" si="7"/>
        <x:v>0</x:v>
      </x:c>
      <x:c r="S42" s="39">
        <x:f t="shared" si="8"/>
        <x:v>0</x:v>
      </x:c>
      <x:c r="T42" s="39">
        <x:f t="shared" si="9"/>
        <x:v>0</x:v>
      </x:c>
    </x:row>
    <x:row r="43">
      <x:c r="H43" s="7" t="str">
        <x:f t="shared" si="1"/>
      </x:c>
      <x:c r="K43" s="39">
        <x:f t="shared" si="2"/>
        <x:v>0</x:v>
      </x:c>
      <x:c r="L43" s="39">
        <x:f t="shared" si="3"/>
        <x:v>0</x:v>
      </x:c>
      <x:c r="M43" s="39">
        <x:f t="shared" si="4"/>
        <x:v>0</x:v>
      </x:c>
      <x:c r="N43" s="39">
        <x:f t="shared" si="5"/>
        <x:v>0</x:v>
      </x:c>
      <x:c r="Q43" s="39">
        <x:f t="shared" si="6"/>
        <x:v>0</x:v>
      </x:c>
      <x:c r="R43" s="39">
        <x:f t="shared" si="7"/>
        <x:v>0</x:v>
      </x:c>
      <x:c r="S43" s="39">
        <x:f t="shared" si="8"/>
        <x:v>0</x:v>
      </x:c>
      <x:c r="T43" s="39">
        <x:f t="shared" si="9"/>
        <x:v>0</x:v>
      </x:c>
    </x:row>
    <x:row r="44">
      <x:c r="H44" s="7" t="str">
        <x:f t="shared" si="1"/>
      </x:c>
      <x:c r="K44" s="39">
        <x:f t="shared" si="2"/>
        <x:v>0</x:v>
      </x:c>
      <x:c r="L44" s="39">
        <x:f t="shared" si="3"/>
        <x:v>0</x:v>
      </x:c>
      <x:c r="M44" s="39">
        <x:f t="shared" si="4"/>
        <x:v>0</x:v>
      </x:c>
      <x:c r="N44" s="39">
        <x:f t="shared" si="5"/>
        <x:v>0</x:v>
      </x:c>
      <x:c r="Q44" s="39">
        <x:f t="shared" si="6"/>
        <x:v>0</x:v>
      </x:c>
      <x:c r="R44" s="39">
        <x:f t="shared" si="7"/>
        <x:v>0</x:v>
      </x:c>
      <x:c r="S44" s="39">
        <x:f t="shared" si="8"/>
        <x:v>0</x:v>
      </x:c>
      <x:c r="T44" s="39">
        <x:f t="shared" si="9"/>
        <x:v>0</x:v>
      </x:c>
    </x:row>
    <x:row r="45">
      <x:c r="H45" s="7" t="str">
        <x:f t="shared" si="1"/>
      </x:c>
      <x:c r="K45" s="39">
        <x:f t="shared" si="2"/>
        <x:v>0</x:v>
      </x:c>
      <x:c r="L45" s="39">
        <x:f t="shared" si="3"/>
        <x:v>0</x:v>
      </x:c>
      <x:c r="M45" s="39">
        <x:f t="shared" si="4"/>
        <x:v>0</x:v>
      </x:c>
      <x:c r="N45" s="39">
        <x:f t="shared" si="5"/>
        <x:v>0</x:v>
      </x:c>
      <x:c r="Q45" s="39">
        <x:f t="shared" si="6"/>
        <x:v>0</x:v>
      </x:c>
      <x:c r="R45" s="39">
        <x:f t="shared" si="7"/>
        <x:v>0</x:v>
      </x:c>
      <x:c r="S45" s="39">
        <x:f t="shared" si="8"/>
        <x:v>0</x:v>
      </x:c>
      <x:c r="T45" s="39">
        <x:f t="shared" si="9"/>
        <x:v>0</x:v>
      </x:c>
    </x:row>
    <x:row r="46">
      <x:c r="H46" s="7" t="str">
        <x:f t="shared" si="1"/>
      </x:c>
      <x:c r="K46" s="39">
        <x:f t="shared" si="2"/>
        <x:v>0</x:v>
      </x:c>
      <x:c r="L46" s="39">
        <x:f t="shared" si="3"/>
        <x:v>0</x:v>
      </x:c>
      <x:c r="M46" s="39">
        <x:f t="shared" si="4"/>
        <x:v>0</x:v>
      </x:c>
      <x:c r="N46" s="39">
        <x:f t="shared" si="5"/>
        <x:v>0</x:v>
      </x:c>
      <x:c r="Q46" s="39">
        <x:f t="shared" si="6"/>
        <x:v>0</x:v>
      </x:c>
      <x:c r="R46" s="39">
        <x:f t="shared" si="7"/>
        <x:v>0</x:v>
      </x:c>
      <x:c r="S46" s="39">
        <x:f t="shared" si="8"/>
        <x:v>0</x:v>
      </x:c>
      <x:c r="T46" s="39">
        <x:f t="shared" si="9"/>
        <x:v>0</x:v>
      </x:c>
    </x:row>
    <x:row r="47">
      <x:c r="H47" s="7" t="str">
        <x:f t="shared" si="1"/>
      </x:c>
      <x:c r="K47" s="39">
        <x:f t="shared" si="2"/>
        <x:v>0</x:v>
      </x:c>
      <x:c r="L47" s="39">
        <x:f t="shared" si="3"/>
        <x:v>0</x:v>
      </x:c>
      <x:c r="M47" s="39">
        <x:f t="shared" si="4"/>
        <x:v>0</x:v>
      </x:c>
      <x:c r="N47" s="39">
        <x:f t="shared" si="5"/>
        <x:v>0</x:v>
      </x:c>
      <x:c r="Q47" s="39">
        <x:f t="shared" si="6"/>
        <x:v>0</x:v>
      </x:c>
      <x:c r="R47" s="39">
        <x:f t="shared" si="7"/>
        <x:v>0</x:v>
      </x:c>
      <x:c r="S47" s="39">
        <x:f t="shared" si="8"/>
        <x:v>0</x:v>
      </x:c>
      <x:c r="T47" s="39">
        <x:f t="shared" si="9"/>
        <x:v>0</x:v>
      </x:c>
    </x:row>
    <x:row r="48">
      <x:c r="H48" s="7" t="str">
        <x:f t="shared" si="1"/>
      </x:c>
      <x:c r="K48" s="39">
        <x:f t="shared" si="2"/>
        <x:v>0</x:v>
      </x:c>
      <x:c r="L48" s="39">
        <x:f t="shared" si="3"/>
        <x:v>0</x:v>
      </x:c>
      <x:c r="M48" s="39">
        <x:f t="shared" si="4"/>
        <x:v>0</x:v>
      </x:c>
      <x:c r="N48" s="39">
        <x:f t="shared" si="5"/>
        <x:v>0</x:v>
      </x:c>
      <x:c r="Q48" s="39">
        <x:f t="shared" si="6"/>
        <x:v>0</x:v>
      </x:c>
      <x:c r="R48" s="39">
        <x:f t="shared" si="7"/>
        <x:v>0</x:v>
      </x:c>
      <x:c r="S48" s="39">
        <x:f t="shared" si="8"/>
        <x:v>0</x:v>
      </x:c>
      <x:c r="T48" s="39">
        <x:f t="shared" si="9"/>
        <x:v>0</x:v>
      </x:c>
    </x:row>
    <x:row r="49">
      <x:c r="H49" s="7" t="str">
        <x:f t="shared" si="1"/>
      </x:c>
      <x:c r="K49" s="39">
        <x:f t="shared" si="2"/>
        <x:v>0</x:v>
      </x:c>
      <x:c r="L49" s="39">
        <x:f t="shared" si="3"/>
        <x:v>0</x:v>
      </x:c>
      <x:c r="M49" s="39">
        <x:f t="shared" si="4"/>
        <x:v>0</x:v>
      </x:c>
      <x:c r="N49" s="39">
        <x:f t="shared" si="5"/>
        <x:v>0</x:v>
      </x:c>
      <x:c r="Q49" s="39">
        <x:f t="shared" si="6"/>
        <x:v>0</x:v>
      </x:c>
      <x:c r="R49" s="39">
        <x:f t="shared" si="7"/>
        <x:v>0</x:v>
      </x:c>
      <x:c r="S49" s="39">
        <x:f t="shared" si="8"/>
        <x:v>0</x:v>
      </x:c>
      <x:c r="T49" s="39">
        <x:f t="shared" si="9"/>
        <x:v>0</x:v>
      </x:c>
    </x:row>
    <x:row r="50">
      <x:c r="H50" s="7" t="str">
        <x:f t="shared" si="1"/>
      </x:c>
      <x:c r="K50" s="39">
        <x:f t="shared" si="2"/>
        <x:v>0</x:v>
      </x:c>
      <x:c r="L50" s="39">
        <x:f t="shared" si="3"/>
        <x:v>0</x:v>
      </x:c>
      <x:c r="M50" s="39">
        <x:f t="shared" si="4"/>
        <x:v>0</x:v>
      </x:c>
      <x:c r="N50" s="39">
        <x:f t="shared" si="5"/>
        <x:v>0</x:v>
      </x:c>
      <x:c r="Q50" s="39">
        <x:f t="shared" si="6"/>
        <x:v>0</x:v>
      </x:c>
      <x:c r="R50" s="39">
        <x:f t="shared" si="7"/>
        <x:v>0</x:v>
      </x:c>
      <x:c r="S50" s="39">
        <x:f t="shared" si="8"/>
        <x:v>0</x:v>
      </x:c>
      <x:c r="T50" s="39">
        <x:f t="shared" si="9"/>
        <x:v>0</x:v>
      </x:c>
    </x:row>
    <x:row r="51">
      <x:c r="H51" s="7" t="str">
        <x:f t="shared" si="1"/>
      </x:c>
      <x:c r="K51" s="39">
        <x:f t="shared" si="2"/>
        <x:v>0</x:v>
      </x:c>
      <x:c r="L51" s="39">
        <x:f t="shared" si="3"/>
        <x:v>0</x:v>
      </x:c>
      <x:c r="M51" s="39">
        <x:f t="shared" si="4"/>
        <x:v>0</x:v>
      </x:c>
      <x:c r="N51" s="39">
        <x:f t="shared" si="5"/>
        <x:v>0</x:v>
      </x:c>
      <x:c r="Q51" s="39">
        <x:f t="shared" si="6"/>
        <x:v>0</x:v>
      </x:c>
      <x:c r="R51" s="39">
        <x:f t="shared" si="7"/>
        <x:v>0</x:v>
      </x:c>
      <x:c r="S51" s="39">
        <x:f t="shared" si="8"/>
        <x:v>0</x:v>
      </x:c>
      <x:c r="T51" s="39">
        <x:f t="shared" si="9"/>
        <x:v>0</x:v>
      </x:c>
    </x:row>
    <x:row r="52">
      <x:c r="H52" s="7" t="str">
        <x:f t="shared" si="1"/>
      </x:c>
      <x:c r="K52" s="39">
        <x:f t="shared" si="2"/>
        <x:v>0</x:v>
      </x:c>
      <x:c r="L52" s="39">
        <x:f t="shared" si="3"/>
        <x:v>0</x:v>
      </x:c>
      <x:c r="M52" s="39">
        <x:f t="shared" si="4"/>
        <x:v>0</x:v>
      </x:c>
      <x:c r="N52" s="39">
        <x:f t="shared" si="5"/>
        <x:v>0</x:v>
      </x:c>
      <x:c r="Q52" s="39">
        <x:f t="shared" si="6"/>
        <x:v>0</x:v>
      </x:c>
      <x:c r="R52" s="39">
        <x:f t="shared" si="7"/>
        <x:v>0</x:v>
      </x:c>
      <x:c r="S52" s="39">
        <x:f t="shared" si="8"/>
        <x:v>0</x:v>
      </x:c>
      <x:c r="T52" s="39">
        <x:f t="shared" si="9"/>
        <x:v>0</x:v>
      </x:c>
    </x:row>
    <x:row r="53">
      <x:c r="H53" s="7" t="str">
        <x:f t="shared" si="1"/>
      </x:c>
      <x:c r="K53" s="39">
        <x:f t="shared" si="2"/>
        <x:v>0</x:v>
      </x:c>
      <x:c r="L53" s="39">
        <x:f t="shared" si="3"/>
        <x:v>0</x:v>
      </x:c>
      <x:c r="M53" s="39">
        <x:f t="shared" si="4"/>
        <x:v>0</x:v>
      </x:c>
      <x:c r="N53" s="39">
        <x:f t="shared" si="5"/>
        <x:v>0</x:v>
      </x:c>
      <x:c r="Q53" s="39">
        <x:f t="shared" si="6"/>
        <x:v>0</x:v>
      </x:c>
      <x:c r="R53" s="39">
        <x:f t="shared" si="7"/>
        <x:v>0</x:v>
      </x:c>
      <x:c r="S53" s="39">
        <x:f t="shared" si="8"/>
        <x:v>0</x:v>
      </x:c>
      <x:c r="T53" s="39">
        <x:f t="shared" si="9"/>
        <x:v>0</x:v>
      </x:c>
    </x:row>
    <x:row r="54">
      <x:c r="H54" s="7" t="str">
        <x:f t="shared" si="1"/>
      </x:c>
      <x:c r="K54" s="39">
        <x:f t="shared" si="2"/>
        <x:v>0</x:v>
      </x:c>
      <x:c r="L54" s="39">
        <x:f t="shared" si="3"/>
        <x:v>0</x:v>
      </x:c>
      <x:c r="M54" s="39">
        <x:f t="shared" si="4"/>
        <x:v>0</x:v>
      </x:c>
      <x:c r="N54" s="39">
        <x:f t="shared" si="5"/>
        <x:v>0</x:v>
      </x:c>
      <x:c r="Q54" s="39">
        <x:f t="shared" si="6"/>
        <x:v>0</x:v>
      </x:c>
      <x:c r="R54" s="39">
        <x:f t="shared" si="7"/>
        <x:v>0</x:v>
      </x:c>
      <x:c r="S54" s="39">
        <x:f t="shared" si="8"/>
        <x:v>0</x:v>
      </x:c>
      <x:c r="T54" s="39">
        <x:f t="shared" si="9"/>
        <x:v>0</x:v>
      </x:c>
    </x:row>
    <x:row r="55">
      <x:c r="H55" s="7" t="str">
        <x:f t="shared" si="1"/>
      </x:c>
      <x:c r="K55" s="39">
        <x:f t="shared" si="2"/>
        <x:v>0</x:v>
      </x:c>
      <x:c r="L55" s="39">
        <x:f t="shared" si="3"/>
        <x:v>0</x:v>
      </x:c>
      <x:c r="M55" s="39">
        <x:f t="shared" si="4"/>
        <x:v>0</x:v>
      </x:c>
      <x:c r="N55" s="39">
        <x:f t="shared" si="5"/>
        <x:v>0</x:v>
      </x:c>
      <x:c r="Q55" s="39">
        <x:f t="shared" si="6"/>
        <x:v>0</x:v>
      </x:c>
      <x:c r="R55" s="39">
        <x:f t="shared" si="7"/>
        <x:v>0</x:v>
      </x:c>
      <x:c r="S55" s="39">
        <x:f t="shared" si="8"/>
        <x:v>0</x:v>
      </x:c>
      <x:c r="T55" s="39">
        <x:f t="shared" si="9"/>
        <x:v>0</x:v>
      </x:c>
    </x:row>
    <x:row r="56">
      <x:c r="H56" s="7" t="str">
        <x:f t="shared" si="1"/>
      </x:c>
      <x:c r="K56" s="39">
        <x:f t="shared" si="2"/>
        <x:v>0</x:v>
      </x:c>
      <x:c r="L56" s="39">
        <x:f t="shared" si="3"/>
        <x:v>0</x:v>
      </x:c>
      <x:c r="M56" s="39">
        <x:f t="shared" si="4"/>
        <x:v>0</x:v>
      </x:c>
      <x:c r="N56" s="39">
        <x:f t="shared" si="5"/>
        <x:v>0</x:v>
      </x:c>
      <x:c r="Q56" s="39">
        <x:f t="shared" si="6"/>
        <x:v>0</x:v>
      </x:c>
      <x:c r="R56" s="39">
        <x:f t="shared" si="7"/>
        <x:v>0</x:v>
      </x:c>
      <x:c r="S56" s="39">
        <x:f t="shared" si="8"/>
        <x:v>0</x:v>
      </x:c>
      <x:c r="T56" s="39">
        <x:f t="shared" si="9"/>
        <x:v>0</x:v>
      </x:c>
    </x:row>
    <x:row r="57">
      <x:c r="H57" s="7" t="str">
        <x:f t="shared" si="1"/>
      </x:c>
      <x:c r="K57" s="39">
        <x:f t="shared" si="2"/>
        <x:v>0</x:v>
      </x:c>
      <x:c r="L57" s="39">
        <x:f t="shared" si="3"/>
        <x:v>0</x:v>
      </x:c>
      <x:c r="M57" s="39">
        <x:f t="shared" si="4"/>
        <x:v>0</x:v>
      </x:c>
      <x:c r="N57" s="39">
        <x:f t="shared" si="5"/>
        <x:v>0</x:v>
      </x:c>
      <x:c r="Q57" s="39">
        <x:f t="shared" si="6"/>
        <x:v>0</x:v>
      </x:c>
      <x:c r="R57" s="39">
        <x:f t="shared" si="7"/>
        <x:v>0</x:v>
      </x:c>
      <x:c r="S57" s="39">
        <x:f t="shared" si="8"/>
        <x:v>0</x:v>
      </x:c>
      <x:c r="T57" s="39">
        <x:f t="shared" si="9"/>
        <x:v>0</x:v>
      </x:c>
    </x:row>
    <x:row r="58">
      <x:c r="H58" s="7" t="str">
        <x:f t="shared" si="1"/>
      </x:c>
      <x:c r="K58" s="39">
        <x:f t="shared" si="2"/>
        <x:v>0</x:v>
      </x:c>
      <x:c r="L58" s="39">
        <x:f t="shared" si="3"/>
        <x:v>0</x:v>
      </x:c>
      <x:c r="M58" s="39">
        <x:f t="shared" si="4"/>
        <x:v>0</x:v>
      </x:c>
      <x:c r="N58" s="39">
        <x:f t="shared" si="5"/>
        <x:v>0</x:v>
      </x:c>
      <x:c r="Q58" s="39">
        <x:f t="shared" si="6"/>
        <x:v>0</x:v>
      </x:c>
      <x:c r="R58" s="39">
        <x:f t="shared" si="7"/>
        <x:v>0</x:v>
      </x:c>
      <x:c r="S58" s="39">
        <x:f t="shared" si="8"/>
        <x:v>0</x:v>
      </x:c>
      <x:c r="T58" s="39">
        <x:f t="shared" si="9"/>
        <x:v>0</x:v>
      </x:c>
    </x:row>
    <x:row r="59">
      <x:c r="H59" s="7" t="str">
        <x:f t="shared" si="1"/>
      </x:c>
      <x:c r="K59" s="39">
        <x:f t="shared" si="2"/>
        <x:v>0</x:v>
      </x:c>
      <x:c r="L59" s="39">
        <x:f t="shared" si="3"/>
        <x:v>0</x:v>
      </x:c>
      <x:c r="M59" s="39">
        <x:f t="shared" si="4"/>
        <x:v>0</x:v>
      </x:c>
      <x:c r="N59" s="39">
        <x:f t="shared" si="5"/>
        <x:v>0</x:v>
      </x:c>
      <x:c r="Q59" s="39">
        <x:f t="shared" si="6"/>
        <x:v>0</x:v>
      </x:c>
      <x:c r="R59" s="39">
        <x:f t="shared" si="7"/>
        <x:v>0</x:v>
      </x:c>
      <x:c r="S59" s="39">
        <x:f t="shared" si="8"/>
        <x:v>0</x:v>
      </x:c>
      <x:c r="T59" s="39">
        <x:f t="shared" si="9"/>
        <x:v>0</x:v>
      </x:c>
    </x:row>
    <x:row r="60">
      <x:c r="H60" s="7" t="str">
        <x:f t="shared" si="1"/>
      </x:c>
      <x:c r="K60" s="39">
        <x:f t="shared" si="2"/>
        <x:v>0</x:v>
      </x:c>
      <x:c r="L60" s="39">
        <x:f t="shared" si="3"/>
        <x:v>0</x:v>
      </x:c>
      <x:c r="M60" s="39">
        <x:f t="shared" si="4"/>
        <x:v>0</x:v>
      </x:c>
      <x:c r="N60" s="39">
        <x:f t="shared" si="5"/>
        <x:v>0</x:v>
      </x:c>
      <x:c r="Q60" s="39">
        <x:f t="shared" si="6"/>
        <x:v>0</x:v>
      </x:c>
      <x:c r="R60" s="39">
        <x:f t="shared" si="7"/>
        <x:v>0</x:v>
      </x:c>
      <x:c r="S60" s="39">
        <x:f t="shared" si="8"/>
        <x:v>0</x:v>
      </x:c>
      <x:c r="T60" s="39">
        <x:f t="shared" si="9"/>
        <x:v>0</x:v>
      </x:c>
    </x:row>
    <x:row r="61">
      <x:c r="H61" s="7" t="str">
        <x:f t="shared" si="1"/>
      </x:c>
      <x:c r="K61" s="39">
        <x:f t="shared" si="2"/>
        <x:v>0</x:v>
      </x:c>
      <x:c r="L61" s="39">
        <x:f t="shared" si="3"/>
        <x:v>0</x:v>
      </x:c>
      <x:c r="M61" s="39">
        <x:f t="shared" si="4"/>
        <x:v>0</x:v>
      </x:c>
      <x:c r="N61" s="39">
        <x:f t="shared" si="5"/>
        <x:v>0</x:v>
      </x:c>
      <x:c r="Q61" s="39">
        <x:f t="shared" si="6"/>
        <x:v>0</x:v>
      </x:c>
      <x:c r="R61" s="39">
        <x:f t="shared" si="7"/>
        <x:v>0</x:v>
      </x:c>
      <x:c r="S61" s="39">
        <x:f t="shared" si="8"/>
        <x:v>0</x:v>
      </x:c>
      <x:c r="T61" s="39">
        <x:f t="shared" si="9"/>
        <x:v>0</x:v>
      </x:c>
    </x:row>
    <x:row r="62">
      <x:c r="H62" s="7" t="str">
        <x:f t="shared" si="1"/>
      </x:c>
      <x:c r="K62" s="39">
        <x:f t="shared" si="2"/>
        <x:v>0</x:v>
      </x:c>
      <x:c r="L62" s="39">
        <x:f t="shared" si="3"/>
        <x:v>0</x:v>
      </x:c>
      <x:c r="M62" s="39">
        <x:f t="shared" si="4"/>
        <x:v>0</x:v>
      </x:c>
      <x:c r="N62" s="39">
        <x:f t="shared" si="5"/>
        <x:v>0</x:v>
      </x:c>
      <x:c r="Q62" s="39">
        <x:f t="shared" si="6"/>
        <x:v>0</x:v>
      </x:c>
      <x:c r="R62" s="39">
        <x:f t="shared" si="7"/>
        <x:v>0</x:v>
      </x:c>
      <x:c r="S62" s="39">
        <x:f t="shared" si="8"/>
        <x:v>0</x:v>
      </x:c>
      <x:c r="T62" s="39">
        <x:f t="shared" si="9"/>
        <x:v>0</x:v>
      </x:c>
    </x:row>
    <x:row r="63">
      <x:c r="H63" s="7" t="str">
        <x:f t="shared" si="1"/>
      </x:c>
      <x:c r="K63" s="39">
        <x:f t="shared" si="2"/>
        <x:v>0</x:v>
      </x:c>
      <x:c r="L63" s="39">
        <x:f t="shared" si="3"/>
        <x:v>0</x:v>
      </x:c>
      <x:c r="M63" s="39">
        <x:f t="shared" si="4"/>
        <x:v>0</x:v>
      </x:c>
      <x:c r="N63" s="39">
        <x:f t="shared" si="5"/>
        <x:v>0</x:v>
      </x:c>
      <x:c r="Q63" s="39">
        <x:f t="shared" si="6"/>
        <x:v>0</x:v>
      </x:c>
      <x:c r="R63" s="39">
        <x:f t="shared" si="7"/>
        <x:v>0</x:v>
      </x:c>
      <x:c r="S63" s="39">
        <x:f t="shared" si="8"/>
        <x:v>0</x:v>
      </x:c>
      <x:c r="T63" s="39">
        <x:f t="shared" si="9"/>
        <x:v>0</x:v>
      </x:c>
    </x:row>
    <x:row r="64">
      <x:c r="H64" s="7" t="str">
        <x:f t="shared" si="1"/>
      </x:c>
      <x:c r="K64" s="39">
        <x:f t="shared" si="2"/>
        <x:v>0</x:v>
      </x:c>
      <x:c r="L64" s="39">
        <x:f t="shared" si="3"/>
        <x:v>0</x:v>
      </x:c>
      <x:c r="M64" s="39">
        <x:f t="shared" si="4"/>
        <x:v>0</x:v>
      </x:c>
      <x:c r="N64" s="39">
        <x:f t="shared" si="5"/>
        <x:v>0</x:v>
      </x:c>
      <x:c r="Q64" s="39">
        <x:f t="shared" si="6"/>
        <x:v>0</x:v>
      </x:c>
      <x:c r="R64" s="39">
        <x:f t="shared" si="7"/>
        <x:v>0</x:v>
      </x:c>
      <x:c r="S64" s="39">
        <x:f t="shared" si="8"/>
        <x:v>0</x:v>
      </x:c>
      <x:c r="T64" s="39">
        <x:f t="shared" si="9"/>
        <x:v>0</x:v>
      </x:c>
    </x:row>
    <x:row r="65">
      <x:c r="H65" s="7" t="str">
        <x:f t="shared" si="1"/>
      </x:c>
      <x:c r="K65" s="39">
        <x:f t="shared" si="2"/>
        <x:v>0</x:v>
      </x:c>
      <x:c r="L65" s="39">
        <x:f t="shared" si="3"/>
        <x:v>0</x:v>
      </x:c>
      <x:c r="M65" s="39">
        <x:f t="shared" si="4"/>
        <x:v>0</x:v>
      </x:c>
      <x:c r="N65" s="39">
        <x:f t="shared" si="5"/>
        <x:v>0</x:v>
      </x:c>
      <x:c r="Q65" s="39">
        <x:f t="shared" si="6"/>
        <x:v>0</x:v>
      </x:c>
      <x:c r="R65" s="39">
        <x:f t="shared" si="7"/>
        <x:v>0</x:v>
      </x:c>
      <x:c r="S65" s="39">
        <x:f t="shared" si="8"/>
        <x:v>0</x:v>
      </x:c>
      <x:c r="T65" s="39">
        <x:f t="shared" si="9"/>
        <x:v>0</x:v>
      </x:c>
    </x:row>
    <x:row r="66">
      <x:c r="H66" s="7" t="str">
        <x:f t="shared" si="1"/>
      </x:c>
      <x:c r="K66" s="39">
        <x:f t="shared" si="2"/>
        <x:v>0</x:v>
      </x:c>
      <x:c r="L66" s="39">
        <x:f t="shared" si="3"/>
        <x:v>0</x:v>
      </x:c>
      <x:c r="M66" s="39">
        <x:f t="shared" si="4"/>
        <x:v>0</x:v>
      </x:c>
      <x:c r="N66" s="39">
        <x:f t="shared" si="5"/>
        <x:v>0</x:v>
      </x:c>
      <x:c r="Q66" s="39">
        <x:f t="shared" si="6"/>
        <x:v>0</x:v>
      </x:c>
      <x:c r="R66" s="39">
        <x:f t="shared" si="7"/>
        <x:v>0</x:v>
      </x:c>
      <x:c r="S66" s="39">
        <x:f t="shared" si="8"/>
        <x:v>0</x:v>
      </x:c>
      <x:c r="T66" s="39">
        <x:f t="shared" si="9"/>
        <x:v>0</x:v>
      </x:c>
    </x:row>
    <x:row r="67">
      <x:c r="H67" s="7" t="str">
        <x:f t="shared" si="1"/>
      </x:c>
      <x:c r="K67" s="39">
        <x:f t="shared" si="2"/>
        <x:v>0</x:v>
      </x:c>
      <x:c r="L67" s="39">
        <x:f t="shared" si="3"/>
        <x:v>0</x:v>
      </x:c>
      <x:c r="M67" s="39">
        <x:f t="shared" si="4"/>
        <x:v>0</x:v>
      </x:c>
      <x:c r="N67" s="39">
        <x:f t="shared" si="5"/>
        <x:v>0</x:v>
      </x:c>
      <x:c r="Q67" s="39">
        <x:f t="shared" si="6"/>
        <x:v>0</x:v>
      </x:c>
      <x:c r="R67" s="39">
        <x:f t="shared" si="7"/>
        <x:v>0</x:v>
      </x:c>
      <x:c r="S67" s="39">
        <x:f t="shared" si="8"/>
        <x:v>0</x:v>
      </x:c>
      <x:c r="T67" s="39">
        <x:f t="shared" si="9"/>
        <x:v>0</x:v>
      </x:c>
    </x:row>
    <x:row r="68">
      <x:c r="H68" s="7" t="str">
        <x:f t="shared" si="1"/>
      </x:c>
      <x:c r="K68" s="39">
        <x:f t="shared" si="2"/>
        <x:v>0</x:v>
      </x:c>
      <x:c r="L68" s="39">
        <x:f t="shared" si="3"/>
        <x:v>0</x:v>
      </x:c>
      <x:c r="M68" s="39">
        <x:f t="shared" si="4"/>
        <x:v>0</x:v>
      </x:c>
      <x:c r="N68" s="39">
        <x:f t="shared" si="5"/>
        <x:v>0</x:v>
      </x:c>
      <x:c r="Q68" s="39">
        <x:f t="shared" si="6"/>
        <x:v>0</x:v>
      </x:c>
      <x:c r="R68" s="39">
        <x:f t="shared" si="7"/>
        <x:v>0</x:v>
      </x:c>
      <x:c r="S68" s="39">
        <x:f t="shared" si="8"/>
        <x:v>0</x:v>
      </x:c>
      <x:c r="T68" s="39">
        <x:f t="shared" si="9"/>
        <x:v>0</x:v>
      </x:c>
    </x:row>
    <x:row r="69">
      <x:c r="H69" s="7" t="str">
        <x:f t="shared" si="1"/>
      </x:c>
      <x:c r="K69" s="39">
        <x:f t="shared" si="2"/>
        <x:v>0</x:v>
      </x:c>
      <x:c r="L69" s="39">
        <x:f t="shared" si="3"/>
        <x:v>0</x:v>
      </x:c>
      <x:c r="M69" s="39">
        <x:f t="shared" si="4"/>
        <x:v>0</x:v>
      </x:c>
      <x:c r="N69" s="39">
        <x:f t="shared" si="5"/>
        <x:v>0</x:v>
      </x:c>
      <x:c r="Q69" s="39">
        <x:f t="shared" si="6"/>
        <x:v>0</x:v>
      </x:c>
      <x:c r="R69" s="39">
        <x:f t="shared" si="7"/>
        <x:v>0</x:v>
      </x:c>
      <x:c r="S69" s="39">
        <x:f t="shared" si="8"/>
        <x:v>0</x:v>
      </x:c>
      <x:c r="T69" s="39">
        <x:f t="shared" si="9"/>
        <x:v>0</x:v>
      </x:c>
    </x:row>
    <x:row r="70">
      <x:c r="H70" s="7" t="str">
        <x:f t="shared" si="1"/>
      </x:c>
      <x:c r="K70" s="39">
        <x:f t="shared" si="2"/>
        <x:v>0</x:v>
      </x:c>
      <x:c r="L70" s="39">
        <x:f t="shared" si="3"/>
        <x:v>0</x:v>
      </x:c>
      <x:c r="M70" s="39">
        <x:f t="shared" si="4"/>
        <x:v>0</x:v>
      </x:c>
      <x:c r="N70" s="39">
        <x:f t="shared" si="5"/>
        <x:v>0</x:v>
      </x:c>
      <x:c r="Q70" s="39">
        <x:f t="shared" si="6"/>
        <x:v>0</x:v>
      </x:c>
      <x:c r="R70" s="39">
        <x:f t="shared" si="7"/>
        <x:v>0</x:v>
      </x:c>
      <x:c r="S70" s="39">
        <x:f t="shared" si="8"/>
        <x:v>0</x:v>
      </x:c>
      <x:c r="T70" s="39">
        <x:f t="shared" si="9"/>
        <x:v>0</x:v>
      </x:c>
    </x:row>
    <x:row r="71">
      <x:c r="H71" s="7" t="str">
        <x:f t="shared" si="1"/>
      </x:c>
      <x:c r="K71" s="39">
        <x:f t="shared" si="2"/>
        <x:v>0</x:v>
      </x:c>
      <x:c r="L71" s="39">
        <x:f t="shared" si="3"/>
        <x:v>0</x:v>
      </x:c>
      <x:c r="M71" s="39">
        <x:f t="shared" si="4"/>
        <x:v>0</x:v>
      </x:c>
      <x:c r="N71" s="39">
        <x:f t="shared" si="5"/>
        <x:v>0</x:v>
      </x:c>
      <x:c r="Q71" s="39">
        <x:f t="shared" si="6"/>
        <x:v>0</x:v>
      </x:c>
      <x:c r="R71" s="39">
        <x:f t="shared" si="7"/>
        <x:v>0</x:v>
      </x:c>
      <x:c r="S71" s="39">
        <x:f t="shared" si="8"/>
        <x:v>0</x:v>
      </x:c>
      <x:c r="T71" s="39">
        <x:f t="shared" si="9"/>
        <x:v>0</x:v>
      </x:c>
    </x:row>
    <x:row r="72">
      <x:c r="H72" s="7" t="str">
        <x:f t="shared" si="1"/>
      </x:c>
      <x:c r="K72" s="39">
        <x:f t="shared" si="2"/>
        <x:v>0</x:v>
      </x:c>
      <x:c r="L72" s="39">
        <x:f t="shared" si="3"/>
        <x:v>0</x:v>
      </x:c>
      <x:c r="M72" s="39">
        <x:f t="shared" si="4"/>
        <x:v>0</x:v>
      </x:c>
      <x:c r="N72" s="39">
        <x:f t="shared" si="5"/>
        <x:v>0</x:v>
      </x:c>
      <x:c r="Q72" s="39">
        <x:f t="shared" si="6"/>
        <x:v>0</x:v>
      </x:c>
      <x:c r="R72" s="39">
        <x:f t="shared" si="7"/>
        <x:v>0</x:v>
      </x:c>
      <x:c r="S72" s="39">
        <x:f t="shared" si="8"/>
        <x:v>0</x:v>
      </x:c>
      <x:c r="T72" s="39">
        <x:f t="shared" si="9"/>
        <x:v>0</x:v>
      </x:c>
    </x:row>
    <x:row r="73">
      <x:c r="H73" s="7" t="str">
        <x:f t="shared" si="1"/>
      </x:c>
      <x:c r="K73" s="39">
        <x:f t="shared" si="2"/>
        <x:v>0</x:v>
      </x:c>
      <x:c r="L73" s="39">
        <x:f t="shared" si="3"/>
        <x:v>0</x:v>
      </x:c>
      <x:c r="M73" s="39">
        <x:f t="shared" si="4"/>
        <x:v>0</x:v>
      </x:c>
      <x:c r="N73" s="39">
        <x:f t="shared" si="5"/>
        <x:v>0</x:v>
      </x:c>
      <x:c r="Q73" s="39">
        <x:f t="shared" si="6"/>
        <x:v>0</x:v>
      </x:c>
      <x:c r="R73" s="39">
        <x:f t="shared" si="7"/>
        <x:v>0</x:v>
      </x:c>
      <x:c r="S73" s="39">
        <x:f t="shared" si="8"/>
        <x:v>0</x:v>
      </x:c>
      <x:c r="T73" s="39">
        <x:f t="shared" si="9"/>
        <x:v>0</x:v>
      </x:c>
    </x:row>
    <x:row r="74">
      <x:c r="H74" s="7" t="str">
        <x:f t="shared" si="1"/>
      </x:c>
      <x:c r="K74" s="39">
        <x:f t="shared" si="2"/>
        <x:v>0</x:v>
      </x:c>
      <x:c r="L74" s="39">
        <x:f t="shared" si="3"/>
        <x:v>0</x:v>
      </x:c>
      <x:c r="M74" s="39">
        <x:f t="shared" si="4"/>
        <x:v>0</x:v>
      </x:c>
      <x:c r="N74" s="39">
        <x:f t="shared" si="5"/>
        <x:v>0</x:v>
      </x:c>
      <x:c r="Q74" s="39">
        <x:f t="shared" si="6"/>
        <x:v>0</x:v>
      </x:c>
      <x:c r="R74" s="39">
        <x:f t="shared" si="7"/>
        <x:v>0</x:v>
      </x:c>
      <x:c r="S74" s="39">
        <x:f t="shared" si="8"/>
        <x:v>0</x:v>
      </x:c>
      <x:c r="T74" s="39">
        <x:f t="shared" si="9"/>
        <x:v>0</x:v>
      </x:c>
    </x:row>
    <x:row r="75">
      <x:c r="H75" s="7" t="str">
        <x:f t="shared" si="1"/>
      </x:c>
      <x:c r="K75" s="39">
        <x:f t="shared" si="2"/>
        <x:v>0</x:v>
      </x:c>
      <x:c r="L75" s="39">
        <x:f t="shared" si="3"/>
        <x:v>0</x:v>
      </x:c>
      <x:c r="M75" s="39">
        <x:f t="shared" si="4"/>
        <x:v>0</x:v>
      </x:c>
      <x:c r="N75" s="39">
        <x:f t="shared" si="5"/>
        <x:v>0</x:v>
      </x:c>
      <x:c r="Q75" s="39">
        <x:f t="shared" si="6"/>
        <x:v>0</x:v>
      </x:c>
      <x:c r="R75" s="39">
        <x:f t="shared" si="7"/>
        <x:v>0</x:v>
      </x:c>
      <x:c r="S75" s="39">
        <x:f t="shared" si="8"/>
        <x:v>0</x:v>
      </x:c>
      <x:c r="T75" s="39">
        <x:f t="shared" si="9"/>
        <x:v>0</x:v>
      </x:c>
    </x:row>
    <x:row r="76">
      <x:c r="H76" s="7" t="str">
        <x:f t="shared" si="1"/>
      </x:c>
      <x:c r="K76" s="39">
        <x:f t="shared" si="2"/>
        <x:v>0</x:v>
      </x:c>
      <x:c r="L76" s="39">
        <x:f t="shared" si="3"/>
        <x:v>0</x:v>
      </x:c>
      <x:c r="M76" s="39">
        <x:f t="shared" si="4"/>
        <x:v>0</x:v>
      </x:c>
      <x:c r="N76" s="39">
        <x:f t="shared" si="5"/>
        <x:v>0</x:v>
      </x:c>
      <x:c r="Q76" s="39">
        <x:f t="shared" si="6"/>
        <x:v>0</x:v>
      </x:c>
      <x:c r="R76" s="39">
        <x:f t="shared" si="7"/>
        <x:v>0</x:v>
      </x:c>
      <x:c r="S76" s="39">
        <x:f t="shared" si="8"/>
        <x:v>0</x:v>
      </x:c>
      <x:c r="T76" s="39">
        <x:f t="shared" si="9"/>
        <x:v>0</x:v>
      </x:c>
    </x:row>
    <x:row r="77">
      <x:c r="H77" s="7" t="str">
        <x:f t="shared" si="1"/>
      </x:c>
      <x:c r="K77" s="39">
        <x:f t="shared" si="2"/>
        <x:v>0</x:v>
      </x:c>
      <x:c r="L77" s="39">
        <x:f t="shared" si="3"/>
        <x:v>0</x:v>
      </x:c>
      <x:c r="M77" s="39">
        <x:f t="shared" si="4"/>
        <x:v>0</x:v>
      </x:c>
      <x:c r="N77" s="39">
        <x:f t="shared" si="5"/>
        <x:v>0</x:v>
      </x:c>
      <x:c r="Q77" s="39">
        <x:f t="shared" si="6"/>
        <x:v>0</x:v>
      </x:c>
      <x:c r="R77" s="39">
        <x:f t="shared" si="7"/>
        <x:v>0</x:v>
      </x:c>
      <x:c r="S77" s="39">
        <x:f t="shared" si="8"/>
        <x:v>0</x:v>
      </x:c>
      <x:c r="T77" s="39">
        <x:f t="shared" si="9"/>
        <x:v>0</x:v>
      </x:c>
    </x:row>
    <x:row r="78">
      <x:c r="H78" s="7" t="str">
        <x:f t="shared" si="1"/>
      </x:c>
      <x:c r="K78" s="39">
        <x:f t="shared" si="2"/>
        <x:v>0</x:v>
      </x:c>
      <x:c r="L78" s="39">
        <x:f t="shared" si="3"/>
        <x:v>0</x:v>
      </x:c>
      <x:c r="M78" s="39">
        <x:f t="shared" si="4"/>
        <x:v>0</x:v>
      </x:c>
      <x:c r="N78" s="39">
        <x:f t="shared" si="5"/>
        <x:v>0</x:v>
      </x:c>
      <x:c r="Q78" s="39">
        <x:f t="shared" si="6"/>
        <x:v>0</x:v>
      </x:c>
      <x:c r="R78" s="39">
        <x:f t="shared" si="7"/>
        <x:v>0</x:v>
      </x:c>
      <x:c r="S78" s="39">
        <x:f t="shared" si="8"/>
        <x:v>0</x:v>
      </x:c>
      <x:c r="T78" s="39">
        <x:f t="shared" si="9"/>
        <x:v>0</x:v>
      </x:c>
    </x:row>
    <x:row r="79">
      <x:c r="H79" s="7" t="str">
        <x:f t="shared" si="1"/>
      </x:c>
      <x:c r="K79" s="39">
        <x:f t="shared" si="2"/>
        <x:v>0</x:v>
      </x:c>
      <x:c r="L79" s="39">
        <x:f t="shared" si="3"/>
        <x:v>0</x:v>
      </x:c>
      <x:c r="M79" s="39">
        <x:f t="shared" si="4"/>
        <x:v>0</x:v>
      </x:c>
      <x:c r="N79" s="39">
        <x:f t="shared" si="5"/>
        <x:v>0</x:v>
      </x:c>
      <x:c r="Q79" s="39">
        <x:f t="shared" si="6"/>
        <x:v>0</x:v>
      </x:c>
      <x:c r="R79" s="39">
        <x:f t="shared" si="7"/>
        <x:v>0</x:v>
      </x:c>
      <x:c r="S79" s="39">
        <x:f t="shared" si="8"/>
        <x:v>0</x:v>
      </x:c>
      <x:c r="T79" s="39">
        <x:f t="shared" si="9"/>
        <x:v>0</x:v>
      </x:c>
    </x:row>
    <x:row r="80">
      <x:c r="H80" s="7" t="str">
        <x:f t="shared" si="1"/>
      </x:c>
      <x:c r="K80" s="39">
        <x:f t="shared" si="2"/>
        <x:v>0</x:v>
      </x:c>
      <x:c r="L80" s="39">
        <x:f t="shared" si="3"/>
        <x:v>0</x:v>
      </x:c>
      <x:c r="M80" s="39">
        <x:f t="shared" si="4"/>
        <x:v>0</x:v>
      </x:c>
      <x:c r="N80" s="39">
        <x:f t="shared" si="5"/>
        <x:v>0</x:v>
      </x:c>
      <x:c r="Q80" s="39">
        <x:f t="shared" si="6"/>
        <x:v>0</x:v>
      </x:c>
      <x:c r="R80" s="39">
        <x:f t="shared" si="7"/>
        <x:v>0</x:v>
      </x:c>
      <x:c r="S80" s="39">
        <x:f t="shared" si="8"/>
        <x:v>0</x:v>
      </x:c>
      <x:c r="T80" s="39">
        <x:f t="shared" si="9"/>
        <x:v>0</x:v>
      </x:c>
    </x:row>
    <x:row r="81">
      <x:c r="H81" s="7" t="str">
        <x:f t="shared" si="1"/>
      </x:c>
      <x:c r="K81" s="39">
        <x:f t="shared" si="2"/>
        <x:v>0</x:v>
      </x:c>
      <x:c r="L81" s="39">
        <x:f t="shared" si="3"/>
        <x:v>0</x:v>
      </x:c>
      <x:c r="M81" s="39">
        <x:f t="shared" si="4"/>
        <x:v>0</x:v>
      </x:c>
      <x:c r="N81" s="39">
        <x:f t="shared" si="5"/>
        <x:v>0</x:v>
      </x:c>
      <x:c r="Q81" s="39">
        <x:f t="shared" si="6"/>
        <x:v>0</x:v>
      </x:c>
      <x:c r="R81" s="39">
        <x:f t="shared" si="7"/>
        <x:v>0</x:v>
      </x:c>
      <x:c r="S81" s="39">
        <x:f t="shared" si="8"/>
        <x:v>0</x:v>
      </x:c>
      <x:c r="T81" s="39">
        <x:f t="shared" si="9"/>
        <x:v>0</x:v>
      </x:c>
    </x:row>
    <x:row r="82">
      <x:c r="H82" s="7" t="str">
        <x:f t="shared" si="1"/>
      </x:c>
      <x:c r="K82" s="39">
        <x:f t="shared" si="2"/>
        <x:v>0</x:v>
      </x:c>
      <x:c r="L82" s="39">
        <x:f t="shared" si="3"/>
        <x:v>0</x:v>
      </x:c>
      <x:c r="M82" s="39">
        <x:f t="shared" si="4"/>
        <x:v>0</x:v>
      </x:c>
      <x:c r="N82" s="39">
        <x:f t="shared" si="5"/>
        <x:v>0</x:v>
      </x:c>
      <x:c r="Q82" s="39">
        <x:f t="shared" si="6"/>
        <x:v>0</x:v>
      </x:c>
      <x:c r="R82" s="39">
        <x:f t="shared" si="7"/>
        <x:v>0</x:v>
      </x:c>
      <x:c r="S82" s="39">
        <x:f t="shared" si="8"/>
        <x:v>0</x:v>
      </x:c>
      <x:c r="T82" s="39">
        <x:f t="shared" si="9"/>
        <x:v>0</x:v>
      </x:c>
    </x:row>
    <x:row r="83">
      <x:c r="H83" s="7" t="str">
        <x:f t="shared" si="1"/>
      </x:c>
      <x:c r="K83" s="39">
        <x:f t="shared" si="2"/>
        <x:v>0</x:v>
      </x:c>
      <x:c r="L83" s="39">
        <x:f t="shared" si="3"/>
        <x:v>0</x:v>
      </x:c>
      <x:c r="M83" s="39">
        <x:f t="shared" si="4"/>
        <x:v>0</x:v>
      </x:c>
      <x:c r="N83" s="39">
        <x:f t="shared" si="5"/>
        <x:v>0</x:v>
      </x:c>
      <x:c r="Q83" s="39">
        <x:f t="shared" si="6"/>
        <x:v>0</x:v>
      </x:c>
      <x:c r="R83" s="39">
        <x:f t="shared" si="7"/>
        <x:v>0</x:v>
      </x:c>
      <x:c r="S83" s="39">
        <x:f t="shared" si="8"/>
        <x:v>0</x:v>
      </x:c>
      <x:c r="T83" s="39">
        <x:f t="shared" si="9"/>
        <x:v>0</x:v>
      </x:c>
    </x:row>
    <x:row r="84">
      <x:c r="H84" s="7" t="str">
        <x:f t="shared" si="1"/>
      </x:c>
      <x:c r="K84" s="39">
        <x:f t="shared" si="2"/>
        <x:v>0</x:v>
      </x:c>
      <x:c r="L84" s="39">
        <x:f t="shared" si="3"/>
        <x:v>0</x:v>
      </x:c>
      <x:c r="M84" s="39">
        <x:f t="shared" si="4"/>
        <x:v>0</x:v>
      </x:c>
      <x:c r="N84" s="39">
        <x:f t="shared" si="5"/>
        <x:v>0</x:v>
      </x:c>
      <x:c r="Q84" s="39">
        <x:f t="shared" si="6"/>
        <x:v>0</x:v>
      </x:c>
      <x:c r="R84" s="39">
        <x:f t="shared" si="7"/>
        <x:v>0</x:v>
      </x:c>
      <x:c r="S84" s="39">
        <x:f t="shared" si="8"/>
        <x:v>0</x:v>
      </x:c>
      <x:c r="T84" s="39">
        <x:f t="shared" si="9"/>
        <x:v>0</x:v>
      </x:c>
    </x:row>
    <x:row r="85">
      <x:c r="H85" s="7" t="str">
        <x:f t="shared" si="1"/>
      </x:c>
      <x:c r="K85" s="39">
        <x:f t="shared" si="2"/>
        <x:v>0</x:v>
      </x:c>
      <x:c r="L85" s="39">
        <x:f t="shared" si="3"/>
        <x:v>0</x:v>
      </x:c>
      <x:c r="M85" s="39">
        <x:f t="shared" si="4"/>
        <x:v>0</x:v>
      </x:c>
      <x:c r="N85" s="39">
        <x:f t="shared" si="5"/>
        <x:v>0</x:v>
      </x:c>
      <x:c r="Q85" s="39">
        <x:f t="shared" si="6"/>
        <x:v>0</x:v>
      </x:c>
      <x:c r="R85" s="39">
        <x:f t="shared" si="7"/>
        <x:v>0</x:v>
      </x:c>
      <x:c r="S85" s="39">
        <x:f t="shared" si="8"/>
        <x:v>0</x:v>
      </x:c>
      <x:c r="T85" s="39">
        <x:f t="shared" si="9"/>
        <x:v>0</x:v>
      </x:c>
    </x:row>
    <x:row r="86">
      <x:c r="H86" s="7" t="str">
        <x:f t="shared" si="1"/>
      </x:c>
      <x:c r="K86" s="39">
        <x:f t="shared" si="2"/>
        <x:v>0</x:v>
      </x:c>
      <x:c r="L86" s="39">
        <x:f t="shared" si="3"/>
        <x:v>0</x:v>
      </x:c>
      <x:c r="M86" s="39">
        <x:f t="shared" si="4"/>
        <x:v>0</x:v>
      </x:c>
      <x:c r="N86" s="39">
        <x:f t="shared" si="5"/>
        <x:v>0</x:v>
      </x:c>
      <x:c r="Q86" s="39">
        <x:f t="shared" si="6"/>
        <x:v>0</x:v>
      </x:c>
      <x:c r="R86" s="39">
        <x:f t="shared" si="7"/>
        <x:v>0</x:v>
      </x:c>
      <x:c r="S86" s="39">
        <x:f t="shared" si="8"/>
        <x:v>0</x:v>
      </x:c>
      <x:c r="T86" s="39">
        <x:f t="shared" si="9"/>
        <x:v>0</x:v>
      </x:c>
    </x:row>
    <x:row r="87">
      <x:c r="H87" s="7" t="str">
        <x:f t="shared" si="1"/>
      </x:c>
      <x:c r="K87" s="39">
        <x:f t="shared" si="2"/>
        <x:v>0</x:v>
      </x:c>
      <x:c r="L87" s="39">
        <x:f t="shared" si="3"/>
        <x:v>0</x:v>
      </x:c>
      <x:c r="M87" s="39">
        <x:f t="shared" si="4"/>
        <x:v>0</x:v>
      </x:c>
      <x:c r="N87" s="39">
        <x:f t="shared" si="5"/>
        <x:v>0</x:v>
      </x:c>
      <x:c r="Q87" s="39">
        <x:f t="shared" si="6"/>
        <x:v>0</x:v>
      </x:c>
      <x:c r="R87" s="39">
        <x:f t="shared" si="7"/>
        <x:v>0</x:v>
      </x:c>
      <x:c r="S87" s="39">
        <x:f t="shared" si="8"/>
        <x:v>0</x:v>
      </x:c>
      <x:c r="T87" s="39">
        <x:f t="shared" si="9"/>
        <x:v>0</x:v>
      </x:c>
    </x:row>
    <x:row r="88">
      <x:c r="H88" s="7" t="str">
        <x:f t="shared" si="1"/>
      </x:c>
      <x:c r="K88" s="39">
        <x:f t="shared" si="2"/>
        <x:v>0</x:v>
      </x:c>
      <x:c r="L88" s="39">
        <x:f t="shared" si="3"/>
        <x:v>0</x:v>
      </x:c>
      <x:c r="M88" s="39">
        <x:f t="shared" si="4"/>
        <x:v>0</x:v>
      </x:c>
      <x:c r="N88" s="39">
        <x:f t="shared" si="5"/>
        <x:v>0</x:v>
      </x:c>
      <x:c r="Q88" s="39">
        <x:f t="shared" si="6"/>
        <x:v>0</x:v>
      </x:c>
      <x:c r="R88" s="39">
        <x:f t="shared" si="7"/>
        <x:v>0</x:v>
      </x:c>
      <x:c r="S88" s="39">
        <x:f t="shared" si="8"/>
        <x:v>0</x:v>
      </x:c>
      <x:c r="T88" s="39">
        <x:f t="shared" si="9"/>
        <x:v>0</x:v>
      </x:c>
    </x:row>
    <x:row r="89">
      <x:c r="H89" s="7" t="str">
        <x:f t="shared" si="1"/>
      </x:c>
      <x:c r="K89" s="39">
        <x:f t="shared" si="2"/>
        <x:v>0</x:v>
      </x:c>
      <x:c r="L89" s="39">
        <x:f t="shared" si="3"/>
        <x:v>0</x:v>
      </x:c>
      <x:c r="M89" s="39">
        <x:f t="shared" si="4"/>
        <x:v>0</x:v>
      </x:c>
      <x:c r="N89" s="39">
        <x:f t="shared" si="5"/>
        <x:v>0</x:v>
      </x:c>
      <x:c r="Q89" s="39">
        <x:f t="shared" si="6"/>
        <x:v>0</x:v>
      </x:c>
      <x:c r="R89" s="39">
        <x:f t="shared" si="7"/>
        <x:v>0</x:v>
      </x:c>
      <x:c r="S89" s="39">
        <x:f t="shared" si="8"/>
        <x:v>0</x:v>
      </x:c>
      <x:c r="T89" s="39">
        <x:f t="shared" si="9"/>
        <x:v>0</x:v>
      </x:c>
    </x:row>
    <x:row r="90">
      <x:c r="H90" s="7" t="str">
        <x:f t="shared" si="1"/>
      </x:c>
      <x:c r="K90" s="39">
        <x:f t="shared" si="2"/>
        <x:v>0</x:v>
      </x:c>
      <x:c r="L90" s="39">
        <x:f t="shared" si="3"/>
        <x:v>0</x:v>
      </x:c>
      <x:c r="M90" s="39">
        <x:f t="shared" si="4"/>
        <x:v>0</x:v>
      </x:c>
      <x:c r="N90" s="39">
        <x:f t="shared" si="5"/>
        <x:v>0</x:v>
      </x:c>
      <x:c r="Q90" s="39">
        <x:f t="shared" si="6"/>
        <x:v>0</x:v>
      </x:c>
      <x:c r="R90" s="39">
        <x:f t="shared" si="7"/>
        <x:v>0</x:v>
      </x:c>
      <x:c r="S90" s="39">
        <x:f t="shared" si="8"/>
        <x:v>0</x:v>
      </x:c>
      <x:c r="T90" s="39">
        <x:f t="shared" si="9"/>
        <x:v>0</x:v>
      </x:c>
    </x:row>
    <x:row r="91">
      <x:c r="H91" s="7" t="str">
        <x:f t="shared" si="1"/>
      </x:c>
      <x:c r="K91" s="39">
        <x:f t="shared" si="2"/>
        <x:v>0</x:v>
      </x:c>
      <x:c r="L91" s="39">
        <x:f t="shared" si="3"/>
        <x:v>0</x:v>
      </x:c>
      <x:c r="M91" s="39">
        <x:f t="shared" si="4"/>
        <x:v>0</x:v>
      </x:c>
      <x:c r="N91" s="39">
        <x:f t="shared" si="5"/>
        <x:v>0</x:v>
      </x:c>
      <x:c r="Q91" s="39">
        <x:f t="shared" si="6"/>
        <x:v>0</x:v>
      </x:c>
      <x:c r="R91" s="39">
        <x:f t="shared" si="7"/>
        <x:v>0</x:v>
      </x:c>
      <x:c r="S91" s="39">
        <x:f t="shared" si="8"/>
        <x:v>0</x:v>
      </x:c>
      <x:c r="T91" s="39">
        <x:f t="shared" si="9"/>
        <x:v>0</x:v>
      </x:c>
    </x:row>
    <x:row r="92">
      <x:c r="H92" s="7" t="str">
        <x:f t="shared" si="1"/>
      </x:c>
      <x:c r="K92" s="39">
        <x:f t="shared" si="2"/>
        <x:v>0</x:v>
      </x:c>
      <x:c r="L92" s="39">
        <x:f t="shared" si="3"/>
        <x:v>0</x:v>
      </x:c>
      <x:c r="M92" s="39">
        <x:f t="shared" si="4"/>
        <x:v>0</x:v>
      </x:c>
      <x:c r="N92" s="39">
        <x:f t="shared" si="5"/>
        <x:v>0</x:v>
      </x:c>
      <x:c r="Q92" s="39">
        <x:f t="shared" si="6"/>
        <x:v>0</x:v>
      </x:c>
      <x:c r="R92" s="39">
        <x:f t="shared" si="7"/>
        <x:v>0</x:v>
      </x:c>
      <x:c r="S92" s="39">
        <x:f t="shared" si="8"/>
        <x:v>0</x:v>
      </x:c>
      <x:c r="T92" s="39">
        <x:f t="shared" si="9"/>
        <x:v>0</x:v>
      </x:c>
    </x:row>
    <x:row r="93">
      <x:c r="H93" s="7" t="str">
        <x:f t="shared" si="1"/>
      </x:c>
      <x:c r="K93" s="39">
        <x:f t="shared" si="2"/>
        <x:v>0</x:v>
      </x:c>
      <x:c r="L93" s="39">
        <x:f t="shared" si="3"/>
        <x:v>0</x:v>
      </x:c>
      <x:c r="M93" s="39">
        <x:f t="shared" si="4"/>
        <x:v>0</x:v>
      </x:c>
      <x:c r="N93" s="39">
        <x:f t="shared" si="5"/>
        <x:v>0</x:v>
      </x:c>
      <x:c r="Q93" s="39">
        <x:f t="shared" si="6"/>
        <x:v>0</x:v>
      </x:c>
      <x:c r="R93" s="39">
        <x:f t="shared" si="7"/>
        <x:v>0</x:v>
      </x:c>
      <x:c r="S93" s="39">
        <x:f t="shared" si="8"/>
        <x:v>0</x:v>
      </x:c>
      <x:c r="T93" s="39">
        <x:f t="shared" si="9"/>
        <x:v>0</x:v>
      </x:c>
    </x:row>
    <x:row r="94">
      <x:c r="H94" s="7" t="str">
        <x:f t="shared" si="1"/>
      </x:c>
      <x:c r="K94" s="39">
        <x:f t="shared" si="2"/>
        <x:v>0</x:v>
      </x:c>
      <x:c r="L94" s="39">
        <x:f t="shared" si="3"/>
        <x:v>0</x:v>
      </x:c>
      <x:c r="M94" s="39">
        <x:f t="shared" si="4"/>
        <x:v>0</x:v>
      </x:c>
      <x:c r="N94" s="39">
        <x:f t="shared" si="5"/>
        <x:v>0</x:v>
      </x:c>
      <x:c r="Q94" s="39">
        <x:f t="shared" si="6"/>
        <x:v>0</x:v>
      </x:c>
      <x:c r="R94" s="39">
        <x:f t="shared" si="7"/>
        <x:v>0</x:v>
      </x:c>
      <x:c r="S94" s="39">
        <x:f t="shared" si="8"/>
        <x:v>0</x:v>
      </x:c>
      <x:c r="T94" s="39">
        <x:f t="shared" si="9"/>
        <x:v>0</x:v>
      </x:c>
    </x:row>
    <x:row r="95">
      <x:c r="H95" s="7" t="str">
        <x:f t="shared" si="1"/>
      </x:c>
      <x:c r="K95" s="39">
        <x:f t="shared" si="2"/>
        <x:v>0</x:v>
      </x:c>
      <x:c r="L95" s="39">
        <x:f t="shared" si="3"/>
        <x:v>0</x:v>
      </x:c>
      <x:c r="M95" s="39">
        <x:f t="shared" si="4"/>
        <x:v>0</x:v>
      </x:c>
      <x:c r="N95" s="39">
        <x:f t="shared" si="5"/>
        <x:v>0</x:v>
      </x:c>
      <x:c r="Q95" s="39">
        <x:f t="shared" si="6"/>
        <x:v>0</x:v>
      </x:c>
      <x:c r="R95" s="39">
        <x:f t="shared" si="7"/>
        <x:v>0</x:v>
      </x:c>
      <x:c r="S95" s="39">
        <x:f t="shared" si="8"/>
        <x:v>0</x:v>
      </x:c>
      <x:c r="T95" s="39">
        <x:f t="shared" si="9"/>
        <x:v>0</x:v>
      </x:c>
    </x:row>
    <x:row r="96">
      <x:c r="H96" s="7" t="str">
        <x:f t="shared" si="1"/>
      </x:c>
      <x:c r="K96" s="39">
        <x:f t="shared" si="2"/>
        <x:v>0</x:v>
      </x:c>
      <x:c r="L96" s="39">
        <x:f t="shared" si="3"/>
        <x:v>0</x:v>
      </x:c>
      <x:c r="M96" s="39">
        <x:f t="shared" si="4"/>
        <x:v>0</x:v>
      </x:c>
      <x:c r="N96" s="39">
        <x:f t="shared" si="5"/>
        <x:v>0</x:v>
      </x:c>
      <x:c r="Q96" s="39">
        <x:f t="shared" si="6"/>
        <x:v>0</x:v>
      </x:c>
      <x:c r="R96" s="39">
        <x:f t="shared" si="7"/>
        <x:v>0</x:v>
      </x:c>
      <x:c r="S96" s="39">
        <x:f t="shared" si="8"/>
        <x:v>0</x:v>
      </x:c>
      <x:c r="T96" s="39">
        <x:f t="shared" si="9"/>
        <x:v>0</x:v>
      </x:c>
    </x:row>
    <x:row r="97">
      <x:c r="H97" s="7" t="str">
        <x:f t="shared" si="1"/>
      </x:c>
      <x:c r="K97" s="39">
        <x:f t="shared" si="2"/>
        <x:v>0</x:v>
      </x:c>
      <x:c r="L97" s="39">
        <x:f t="shared" si="3"/>
        <x:v>0</x:v>
      </x:c>
      <x:c r="M97" s="39">
        <x:f t="shared" si="4"/>
        <x:v>0</x:v>
      </x:c>
      <x:c r="N97" s="39">
        <x:f t="shared" si="5"/>
        <x:v>0</x:v>
      </x:c>
      <x:c r="Q97" s="39">
        <x:f t="shared" si="6"/>
        <x:v>0</x:v>
      </x:c>
      <x:c r="R97" s="39">
        <x:f t="shared" si="7"/>
        <x:v>0</x:v>
      </x:c>
      <x:c r="S97" s="39">
        <x:f t="shared" si="8"/>
        <x:v>0</x:v>
      </x:c>
      <x:c r="T97" s="39">
        <x:f t="shared" si="9"/>
        <x:v>0</x:v>
      </x:c>
    </x:row>
    <x:row r="98">
      <x:c r="H98" s="7" t="str">
        <x:f t="shared" si="1"/>
      </x:c>
      <x:c r="K98" s="39">
        <x:f t="shared" si="2"/>
        <x:v>0</x:v>
      </x:c>
      <x:c r="L98" s="39">
        <x:f t="shared" si="3"/>
        <x:v>0</x:v>
      </x:c>
      <x:c r="M98" s="39">
        <x:f t="shared" si="4"/>
        <x:v>0</x:v>
      </x:c>
      <x:c r="N98" s="39">
        <x:f t="shared" si="5"/>
        <x:v>0</x:v>
      </x:c>
      <x:c r="Q98" s="39">
        <x:f t="shared" si="6"/>
        <x:v>0</x:v>
      </x:c>
      <x:c r="R98" s="39">
        <x:f t="shared" si="7"/>
        <x:v>0</x:v>
      </x:c>
      <x:c r="S98" s="39">
        <x:f t="shared" si="8"/>
        <x:v>0</x:v>
      </x:c>
      <x:c r="T98" s="39">
        <x:f t="shared" si="9"/>
        <x:v>0</x:v>
      </x:c>
    </x:row>
    <x:row r="99">
      <x:c r="H99" s="7" t="str">
        <x:f t="shared" si="1"/>
      </x:c>
      <x:c r="K99" s="39">
        <x:f t="shared" si="2"/>
        <x:v>0</x:v>
      </x:c>
      <x:c r="L99" s="39">
        <x:f t="shared" si="3"/>
        <x:v>0</x:v>
      </x:c>
      <x:c r="M99" s="39">
        <x:f t="shared" si="4"/>
        <x:v>0</x:v>
      </x:c>
      <x:c r="N99" s="39">
        <x:f t="shared" si="5"/>
        <x:v>0</x:v>
      </x:c>
      <x:c r="Q99" s="39">
        <x:f t="shared" si="6"/>
        <x:v>0</x:v>
      </x:c>
      <x:c r="R99" s="39">
        <x:f t="shared" si="7"/>
        <x:v>0</x:v>
      </x:c>
      <x:c r="S99" s="39">
        <x:f t="shared" si="8"/>
        <x:v>0</x:v>
      </x:c>
      <x:c r="T99" s="39">
        <x:f t="shared" si="9"/>
        <x:v>0</x:v>
      </x:c>
    </x:row>
    <x:row r="100">
      <x:c r="H100" s="7" t="str">
        <x:f t="shared" si="1"/>
      </x:c>
      <x:c r="K100" s="39">
        <x:f t="shared" si="2"/>
        <x:v>0</x:v>
      </x:c>
      <x:c r="L100" s="39">
        <x:f t="shared" si="3"/>
        <x:v>0</x:v>
      </x:c>
      <x:c r="M100" s="39">
        <x:f t="shared" si="4"/>
        <x:v>0</x:v>
      </x:c>
      <x:c r="N100" s="39">
        <x:f t="shared" si="5"/>
        <x:v>0</x:v>
      </x:c>
      <x:c r="Q100" s="39">
        <x:f t="shared" si="6"/>
        <x:v>0</x:v>
      </x:c>
      <x:c r="R100" s="39">
        <x:f t="shared" si="7"/>
        <x:v>0</x:v>
      </x:c>
      <x:c r="S100" s="39">
        <x:f t="shared" si="8"/>
        <x:v>0</x:v>
      </x:c>
      <x:c r="T100" s="39">
        <x:f t="shared" si="9"/>
        <x:v>0</x:v>
      </x:c>
    </x:row>
    <x:row r="101">
      <x:c r="H101" s="7" t="str">
        <x:f t="shared" si="1"/>
      </x:c>
      <x:c r="K101" s="39">
        <x:f t="shared" si="2"/>
        <x:v>0</x:v>
      </x:c>
      <x:c r="L101" s="39">
        <x:f t="shared" si="3"/>
        <x:v>0</x:v>
      </x:c>
      <x:c r="M101" s="39">
        <x:f t="shared" si="4"/>
        <x:v>0</x:v>
      </x:c>
      <x:c r="N101" s="39">
        <x:f t="shared" si="5"/>
        <x:v>0</x:v>
      </x:c>
      <x:c r="Q101" s="39">
        <x:f t="shared" si="6"/>
        <x:v>0</x:v>
      </x:c>
      <x:c r="R101" s="39">
        <x:f t="shared" si="7"/>
        <x:v>0</x:v>
      </x:c>
      <x:c r="S101" s="39">
        <x:f t="shared" si="8"/>
        <x:v>0</x:v>
      </x:c>
      <x:c r="T101" s="39">
        <x:f t="shared" si="9"/>
        <x:v>0</x:v>
      </x:c>
    </x:row>
    <x:row r="102">
      <x:c r="H102" s="7" t="str">
        <x:f t="shared" si="1"/>
      </x:c>
      <x:c r="K102" s="39">
        <x:f t="shared" si="2"/>
        <x:v>0</x:v>
      </x:c>
      <x:c r="L102" s="39">
        <x:f t="shared" si="3"/>
        <x:v>0</x:v>
      </x:c>
      <x:c r="M102" s="39">
        <x:f t="shared" si="4"/>
        <x:v>0</x:v>
      </x:c>
      <x:c r="N102" s="39">
        <x:f t="shared" si="5"/>
        <x:v>0</x:v>
      </x:c>
      <x:c r="Q102" s="39">
        <x:f t="shared" si="6"/>
        <x:v>0</x:v>
      </x:c>
      <x:c r="R102" s="39">
        <x:f t="shared" si="7"/>
        <x:v>0</x:v>
      </x:c>
      <x:c r="S102" s="39">
        <x:f t="shared" si="8"/>
        <x:v>0</x:v>
      </x:c>
      <x:c r="T102" s="39">
        <x:f t="shared" si="9"/>
        <x:v>0</x:v>
      </x:c>
    </x:row>
    <x:row r="103">
      <x:c r="H103" s="7" t="str">
        <x:f t="shared" si="1"/>
      </x:c>
      <x:c r="K103" s="39">
        <x:f t="shared" si="2"/>
        <x:v>0</x:v>
      </x:c>
      <x:c r="L103" s="39">
        <x:f t="shared" si="3"/>
        <x:v>0</x:v>
      </x:c>
      <x:c r="M103" s="39">
        <x:f t="shared" si="4"/>
        <x:v>0</x:v>
      </x:c>
      <x:c r="N103" s="39">
        <x:f t="shared" si="5"/>
        <x:v>0</x:v>
      </x:c>
      <x:c r="Q103" s="39">
        <x:f t="shared" si="6"/>
        <x:v>0</x:v>
      </x:c>
      <x:c r="R103" s="39">
        <x:f t="shared" si="7"/>
        <x:v>0</x:v>
      </x:c>
      <x:c r="S103" s="39">
        <x:f t="shared" si="8"/>
        <x:v>0</x:v>
      </x:c>
      <x:c r="T103" s="39">
        <x:f t="shared" si="9"/>
        <x:v>0</x:v>
      </x:c>
    </x:row>
    <x:row r="104">
      <x:c r="H104" s="7" t="str">
        <x:f t="shared" si="1"/>
      </x:c>
      <x:c r="K104" s="39">
        <x:f t="shared" si="2"/>
        <x:v>0</x:v>
      </x:c>
      <x:c r="L104" s="39">
        <x:f t="shared" si="3"/>
        <x:v>0</x:v>
      </x:c>
      <x:c r="M104" s="39">
        <x:f t="shared" si="4"/>
        <x:v>0</x:v>
      </x:c>
      <x:c r="N104" s="39">
        <x:f t="shared" si="5"/>
        <x:v>0</x:v>
      </x:c>
      <x:c r="Q104" s="39">
        <x:f t="shared" si="6"/>
        <x:v>0</x:v>
      </x:c>
      <x:c r="R104" s="39">
        <x:f t="shared" si="7"/>
        <x:v>0</x:v>
      </x:c>
      <x:c r="S104" s="39">
        <x:f t="shared" si="8"/>
        <x:v>0</x:v>
      </x:c>
      <x:c r="T104" s="39">
        <x:f t="shared" si="9"/>
        <x:v>0</x:v>
      </x:c>
    </x:row>
    <x:row r="105">
      <x:c r="H105" s="7" t="str">
        <x:f t="shared" si="1"/>
      </x:c>
      <x:c r="K105" s="39">
        <x:f t="shared" si="2"/>
        <x:v>0</x:v>
      </x:c>
      <x:c r="L105" s="39">
        <x:f t="shared" si="3"/>
        <x:v>0</x:v>
      </x:c>
      <x:c r="M105" s="39">
        <x:f t="shared" si="4"/>
        <x:v>0</x:v>
      </x:c>
      <x:c r="N105" s="39">
        <x:f t="shared" si="5"/>
        <x:v>0</x:v>
      </x:c>
      <x:c r="Q105" s="39">
        <x:f t="shared" si="6"/>
        <x:v>0</x:v>
      </x:c>
      <x:c r="R105" s="39">
        <x:f t="shared" si="7"/>
        <x:v>0</x:v>
      </x:c>
      <x:c r="S105" s="39">
        <x:f t="shared" si="8"/>
        <x:v>0</x:v>
      </x:c>
      <x:c r="T105" s="39">
        <x:f t="shared" si="9"/>
        <x:v>0</x:v>
      </x:c>
    </x:row>
    <x:row r="106">
      <x:c r="H106" s="7" t="str">
        <x:f t="shared" si="1"/>
      </x:c>
      <x:c r="K106" s="39">
        <x:f t="shared" si="2"/>
        <x:v>0</x:v>
      </x:c>
      <x:c r="L106" s="39">
        <x:f t="shared" si="3"/>
        <x:v>0</x:v>
      </x:c>
      <x:c r="M106" s="39">
        <x:f t="shared" si="4"/>
        <x:v>0</x:v>
      </x:c>
      <x:c r="N106" s="39">
        <x:f t="shared" si="5"/>
        <x:v>0</x:v>
      </x:c>
      <x:c r="Q106" s="39">
        <x:f t="shared" si="6"/>
        <x:v>0</x:v>
      </x:c>
      <x:c r="R106" s="39">
        <x:f t="shared" si="7"/>
        <x:v>0</x:v>
      </x:c>
      <x:c r="S106" s="39">
        <x:f t="shared" si="8"/>
        <x:v>0</x:v>
      </x:c>
      <x:c r="T106" s="39">
        <x:f t="shared" si="9"/>
        <x:v>0</x:v>
      </x:c>
    </x:row>
    <x:row r="107">
      <x:c r="H107" s="7" t="str">
        <x:f t="shared" si="1"/>
      </x:c>
      <x:c r="K107" s="39">
        <x:f t="shared" si="2"/>
        <x:v>0</x:v>
      </x:c>
      <x:c r="L107" s="39">
        <x:f t="shared" si="3"/>
        <x:v>0</x:v>
      </x:c>
      <x:c r="M107" s="39">
        <x:f t="shared" si="4"/>
        <x:v>0</x:v>
      </x:c>
      <x:c r="N107" s="39">
        <x:f t="shared" si="5"/>
        <x:v>0</x:v>
      </x:c>
      <x:c r="Q107" s="39">
        <x:f t="shared" si="6"/>
        <x:v>0</x:v>
      </x:c>
      <x:c r="R107" s="39">
        <x:f t="shared" si="7"/>
        <x:v>0</x:v>
      </x:c>
      <x:c r="S107" s="39">
        <x:f t="shared" si="8"/>
        <x:v>0</x:v>
      </x:c>
      <x:c r="T107" s="39">
        <x:f t="shared" si="9"/>
        <x:v>0</x:v>
      </x:c>
    </x:row>
    <x:row r="108">
      <x:c r="H108" s="7" t="str">
        <x:f t="shared" si="1"/>
      </x:c>
      <x:c r="K108" s="39">
        <x:f t="shared" si="2"/>
        <x:v>0</x:v>
      </x:c>
      <x:c r="L108" s="39">
        <x:f t="shared" si="3"/>
        <x:v>0</x:v>
      </x:c>
      <x:c r="M108" s="39">
        <x:f t="shared" si="4"/>
        <x:v>0</x:v>
      </x:c>
      <x:c r="N108" s="39">
        <x:f t="shared" si="5"/>
        <x:v>0</x:v>
      </x:c>
      <x:c r="Q108" s="39">
        <x:f t="shared" si="6"/>
        <x:v>0</x:v>
      </x:c>
      <x:c r="R108" s="39">
        <x:f t="shared" si="7"/>
        <x:v>0</x:v>
      </x:c>
      <x:c r="S108" s="39">
        <x:f t="shared" si="8"/>
        <x:v>0</x:v>
      </x:c>
      <x:c r="T108" s="39">
        <x:f t="shared" si="9"/>
        <x:v>0</x:v>
      </x:c>
    </x:row>
    <x:row r="109">
      <x:c r="H109" s="7" t="str">
        <x:f t="shared" si="1"/>
      </x:c>
      <x:c r="K109" s="39">
        <x:f t="shared" si="2"/>
        <x:v>0</x:v>
      </x:c>
      <x:c r="L109" s="39">
        <x:f t="shared" si="3"/>
        <x:v>0</x:v>
      </x:c>
      <x:c r="M109" s="39">
        <x:f t="shared" si="4"/>
        <x:v>0</x:v>
      </x:c>
      <x:c r="N109" s="39">
        <x:f t="shared" si="5"/>
        <x:v>0</x:v>
      </x:c>
      <x:c r="Q109" s="39">
        <x:f t="shared" si="6"/>
        <x:v>0</x:v>
      </x:c>
      <x:c r="R109" s="39">
        <x:f t="shared" si="7"/>
        <x:v>0</x:v>
      </x:c>
      <x:c r="S109" s="39">
        <x:f t="shared" si="8"/>
        <x:v>0</x:v>
      </x:c>
      <x:c r="T109" s="39">
        <x:f t="shared" si="9"/>
        <x:v>0</x:v>
      </x:c>
    </x:row>
    <x:row r="110">
      <x:c r="H110" s="7" t="str">
        <x:f t="shared" si="1"/>
      </x:c>
      <x:c r="K110" s="39">
        <x:f t="shared" si="2"/>
        <x:v>0</x:v>
      </x:c>
      <x:c r="L110" s="39">
        <x:f t="shared" si="3"/>
        <x:v>0</x:v>
      </x:c>
      <x:c r="M110" s="39">
        <x:f t="shared" si="4"/>
        <x:v>0</x:v>
      </x:c>
      <x:c r="N110" s="39">
        <x:f t="shared" si="5"/>
        <x:v>0</x:v>
      </x:c>
      <x:c r="Q110" s="39">
        <x:f t="shared" si="6"/>
        <x:v>0</x:v>
      </x:c>
      <x:c r="R110" s="39">
        <x:f t="shared" si="7"/>
        <x:v>0</x:v>
      </x:c>
      <x:c r="S110" s="39">
        <x:f t="shared" si="8"/>
        <x:v>0</x:v>
      </x:c>
      <x:c r="T110" s="39">
        <x:f t="shared" si="9"/>
        <x:v>0</x:v>
      </x:c>
    </x:row>
    <x:row r="111">
      <x:c r="H111" s="7" t="str">
        <x:f t="shared" si="1"/>
      </x:c>
      <x:c r="K111" s="39">
        <x:f t="shared" si="2"/>
        <x:v>0</x:v>
      </x:c>
      <x:c r="L111" s="39">
        <x:f t="shared" si="3"/>
        <x:v>0</x:v>
      </x:c>
      <x:c r="M111" s="39">
        <x:f t="shared" si="4"/>
        <x:v>0</x:v>
      </x:c>
      <x:c r="N111" s="39">
        <x:f t="shared" si="5"/>
        <x:v>0</x:v>
      </x:c>
      <x:c r="Q111" s="39">
        <x:f t="shared" si="6"/>
        <x:v>0</x:v>
      </x:c>
      <x:c r="R111" s="39">
        <x:f t="shared" si="7"/>
        <x:v>0</x:v>
      </x:c>
      <x:c r="S111" s="39">
        <x:f t="shared" si="8"/>
        <x:v>0</x:v>
      </x:c>
      <x:c r="T111" s="39">
        <x:f t="shared" si="9"/>
        <x:v>0</x:v>
      </x:c>
    </x:row>
    <x:row r="112">
      <x:c r="H112" s="7" t="str">
        <x:f t="shared" si="1"/>
      </x:c>
      <x:c r="K112" s="39">
        <x:f t="shared" si="2"/>
        <x:v>0</x:v>
      </x:c>
      <x:c r="L112" s="39">
        <x:f t="shared" si="3"/>
        <x:v>0</x:v>
      </x:c>
      <x:c r="M112" s="39">
        <x:f t="shared" si="4"/>
        <x:v>0</x:v>
      </x:c>
      <x:c r="N112" s="39">
        <x:f t="shared" si="5"/>
        <x:v>0</x:v>
      </x:c>
      <x:c r="Q112" s="39">
        <x:f t="shared" si="6"/>
        <x:v>0</x:v>
      </x:c>
      <x:c r="R112" s="39">
        <x:f t="shared" si="7"/>
        <x:v>0</x:v>
      </x:c>
      <x:c r="S112" s="39">
        <x:f t="shared" si="8"/>
        <x:v>0</x:v>
      </x:c>
      <x:c r="T112" s="39">
        <x:f t="shared" si="9"/>
        <x:v>0</x:v>
      </x:c>
    </x:row>
    <x:row r="113">
      <x:c r="H113" s="7" t="str">
        <x:f t="shared" si="1"/>
      </x:c>
      <x:c r="K113" s="39">
        <x:f t="shared" si="2"/>
        <x:v>0</x:v>
      </x:c>
      <x:c r="L113" s="39">
        <x:f t="shared" si="3"/>
        <x:v>0</x:v>
      </x:c>
      <x:c r="M113" s="39">
        <x:f t="shared" si="4"/>
        <x:v>0</x:v>
      </x:c>
      <x:c r="N113" s="39">
        <x:f t="shared" si="5"/>
        <x:v>0</x:v>
      </x:c>
      <x:c r="Q113" s="39">
        <x:f t="shared" si="6"/>
        <x:v>0</x:v>
      </x:c>
      <x:c r="R113" s="39">
        <x:f t="shared" si="7"/>
        <x:v>0</x:v>
      </x:c>
      <x:c r="S113" s="39">
        <x:f t="shared" si="8"/>
        <x:v>0</x:v>
      </x:c>
      <x:c r="T113" s="39">
        <x:f t="shared" si="9"/>
        <x:v>0</x:v>
      </x:c>
    </x:row>
    <x:row r="114">
      <x:c r="H114" s="7" t="str">
        <x:f t="shared" si="1"/>
      </x:c>
      <x:c r="K114" s="39">
        <x:f t="shared" si="2"/>
        <x:v>0</x:v>
      </x:c>
      <x:c r="L114" s="39">
        <x:f t="shared" si="3"/>
        <x:v>0</x:v>
      </x:c>
      <x:c r="M114" s="39">
        <x:f t="shared" si="4"/>
        <x:v>0</x:v>
      </x:c>
      <x:c r="N114" s="39">
        <x:f t="shared" si="5"/>
        <x:v>0</x:v>
      </x:c>
      <x:c r="Q114" s="39">
        <x:f t="shared" si="6"/>
        <x:v>0</x:v>
      </x:c>
      <x:c r="R114" s="39">
        <x:f t="shared" si="7"/>
        <x:v>0</x:v>
      </x:c>
      <x:c r="S114" s="39">
        <x:f t="shared" si="8"/>
        <x:v>0</x:v>
      </x:c>
      <x:c r="T114" s="39">
        <x:f t="shared" si="9"/>
        <x:v>0</x:v>
      </x:c>
    </x:row>
    <x:row r="115">
      <x:c r="H115" s="7" t="str">
        <x:f t="shared" si="1"/>
      </x:c>
      <x:c r="K115" s="39">
        <x:f t="shared" si="2"/>
        <x:v>0</x:v>
      </x:c>
      <x:c r="L115" s="39">
        <x:f t="shared" si="3"/>
        <x:v>0</x:v>
      </x:c>
      <x:c r="M115" s="39">
        <x:f t="shared" si="4"/>
        <x:v>0</x:v>
      </x:c>
      <x:c r="N115" s="39">
        <x:f t="shared" si="5"/>
        <x:v>0</x:v>
      </x:c>
      <x:c r="Q115" s="39">
        <x:f t="shared" si="6"/>
        <x:v>0</x:v>
      </x:c>
      <x:c r="R115" s="39">
        <x:f t="shared" si="7"/>
        <x:v>0</x:v>
      </x:c>
      <x:c r="S115" s="39">
        <x:f t="shared" si="8"/>
        <x:v>0</x:v>
      </x:c>
      <x:c r="T115" s="39">
        <x:f t="shared" si="9"/>
        <x:v>0</x:v>
      </x:c>
    </x:row>
    <x:row r="116">
      <x:c r="H116" s="7" t="str">
        <x:f t="shared" si="1"/>
      </x:c>
      <x:c r="K116" s="39">
        <x:f t="shared" si="2"/>
        <x:v>0</x:v>
      </x:c>
      <x:c r="L116" s="39">
        <x:f t="shared" si="3"/>
        <x:v>0</x:v>
      </x:c>
      <x:c r="M116" s="39">
        <x:f t="shared" si="4"/>
        <x:v>0</x:v>
      </x:c>
      <x:c r="N116" s="39">
        <x:f t="shared" si="5"/>
        <x:v>0</x:v>
      </x:c>
      <x:c r="Q116" s="39">
        <x:f t="shared" si="6"/>
        <x:v>0</x:v>
      </x:c>
      <x:c r="R116" s="39">
        <x:f t="shared" si="7"/>
        <x:v>0</x:v>
      </x:c>
      <x:c r="S116" s="39">
        <x:f t="shared" si="8"/>
        <x:v>0</x:v>
      </x:c>
      <x:c r="T116" s="39">
        <x:f t="shared" si="9"/>
        <x:v>0</x:v>
      </x:c>
    </x:row>
    <x:row r="117">
      <x:c r="H117" s="7" t="str">
        <x:f t="shared" si="1"/>
      </x:c>
      <x:c r="K117" s="39">
        <x:f t="shared" si="2"/>
        <x:v>0</x:v>
      </x:c>
      <x:c r="L117" s="39">
        <x:f t="shared" si="3"/>
        <x:v>0</x:v>
      </x:c>
      <x:c r="M117" s="39">
        <x:f t="shared" si="4"/>
        <x:v>0</x:v>
      </x:c>
      <x:c r="N117" s="39">
        <x:f t="shared" si="5"/>
        <x:v>0</x:v>
      </x:c>
      <x:c r="Q117" s="39">
        <x:f t="shared" si="6"/>
        <x:v>0</x:v>
      </x:c>
      <x:c r="R117" s="39">
        <x:f t="shared" si="7"/>
        <x:v>0</x:v>
      </x:c>
      <x:c r="S117" s="39">
        <x:f t="shared" si="8"/>
        <x:v>0</x:v>
      </x:c>
      <x:c r="T117" s="39">
        <x:f t="shared" si="9"/>
        <x:v>0</x:v>
      </x:c>
    </x:row>
    <x:row r="118">
      <x:c r="H118" s="7" t="str">
        <x:f t="shared" si="1"/>
      </x:c>
      <x:c r="K118" s="39">
        <x:f t="shared" si="2"/>
        <x:v>0</x:v>
      </x:c>
      <x:c r="L118" s="39">
        <x:f t="shared" si="3"/>
        <x:v>0</x:v>
      </x:c>
      <x:c r="M118" s="39">
        <x:f t="shared" si="4"/>
        <x:v>0</x:v>
      </x:c>
      <x:c r="N118" s="39">
        <x:f t="shared" si="5"/>
        <x:v>0</x:v>
      </x:c>
      <x:c r="Q118" s="39">
        <x:f t="shared" si="6"/>
        <x:v>0</x:v>
      </x:c>
      <x:c r="R118" s="39">
        <x:f t="shared" si="7"/>
        <x:v>0</x:v>
      </x:c>
      <x:c r="S118" s="39">
        <x:f t="shared" si="8"/>
        <x:v>0</x:v>
      </x:c>
      <x:c r="T118" s="39">
        <x:f t="shared" si="9"/>
        <x:v>0</x:v>
      </x:c>
    </x:row>
    <x:row r="119">
      <x:c r="H119" s="7" t="str">
        <x:f t="shared" si="1"/>
      </x:c>
      <x:c r="K119" s="39">
        <x:f t="shared" si="2"/>
        <x:v>0</x:v>
      </x:c>
      <x:c r="L119" s="39">
        <x:f t="shared" si="3"/>
        <x:v>0</x:v>
      </x:c>
      <x:c r="M119" s="39">
        <x:f t="shared" si="4"/>
        <x:v>0</x:v>
      </x:c>
      <x:c r="N119" s="39">
        <x:f t="shared" si="5"/>
        <x:v>0</x:v>
      </x:c>
      <x:c r="Q119" s="39">
        <x:f t="shared" si="6"/>
        <x:v>0</x:v>
      </x:c>
      <x:c r="R119" s="39">
        <x:f t="shared" si="7"/>
        <x:v>0</x:v>
      </x:c>
      <x:c r="S119" s="39">
        <x:f t="shared" si="8"/>
        <x:v>0</x:v>
      </x:c>
      <x:c r="T119" s="39">
        <x:f t="shared" si="9"/>
        <x:v>0</x:v>
      </x:c>
    </x:row>
    <x:row r="120">
      <x:c r="H120" s="7" t="str">
        <x:f t="shared" si="1"/>
      </x:c>
      <x:c r="K120" s="39">
        <x:f t="shared" si="2"/>
        <x:v>0</x:v>
      </x:c>
      <x:c r="L120" s="39">
        <x:f t="shared" si="3"/>
        <x:v>0</x:v>
      </x:c>
      <x:c r="M120" s="39">
        <x:f t="shared" si="4"/>
        <x:v>0</x:v>
      </x:c>
      <x:c r="N120" s="39">
        <x:f t="shared" si="5"/>
        <x:v>0</x:v>
      </x:c>
      <x:c r="Q120" s="39">
        <x:f t="shared" si="6"/>
        <x:v>0</x:v>
      </x:c>
      <x:c r="R120" s="39">
        <x:f t="shared" si="7"/>
        <x:v>0</x:v>
      </x:c>
      <x:c r="S120" s="39">
        <x:f t="shared" si="8"/>
        <x:v>0</x:v>
      </x:c>
      <x:c r="T120" s="39">
        <x:f t="shared" si="9"/>
        <x:v>0</x:v>
      </x:c>
    </x:row>
    <x:row r="121">
      <x:c r="H121" s="7" t="str">
        <x:f t="shared" si="1"/>
      </x:c>
      <x:c r="K121" s="39">
        <x:f t="shared" si="2"/>
        <x:v>0</x:v>
      </x:c>
      <x:c r="L121" s="39">
        <x:f t="shared" si="3"/>
        <x:v>0</x:v>
      </x:c>
      <x:c r="M121" s="39">
        <x:f t="shared" si="4"/>
        <x:v>0</x:v>
      </x:c>
      <x:c r="N121" s="39">
        <x:f t="shared" si="5"/>
        <x:v>0</x:v>
      </x:c>
      <x:c r="Q121" s="39">
        <x:f t="shared" si="6"/>
        <x:v>0</x:v>
      </x:c>
      <x:c r="R121" s="39">
        <x:f t="shared" si="7"/>
        <x:v>0</x:v>
      </x:c>
      <x:c r="S121" s="39">
        <x:f t="shared" si="8"/>
        <x:v>0</x:v>
      </x:c>
      <x:c r="T121" s="39">
        <x:f t="shared" si="9"/>
        <x:v>0</x:v>
      </x:c>
    </x:row>
    <x:row r="122">
      <x:c r="H122" s="7" t="str">
        <x:f t="shared" si="1"/>
      </x:c>
      <x:c r="K122" s="39">
        <x:f t="shared" si="2"/>
        <x:v>0</x:v>
      </x:c>
      <x:c r="L122" s="39">
        <x:f t="shared" si="3"/>
        <x:v>0</x:v>
      </x:c>
      <x:c r="M122" s="39">
        <x:f t="shared" si="4"/>
        <x:v>0</x:v>
      </x:c>
      <x:c r="N122" s="39">
        <x:f t="shared" si="5"/>
        <x:v>0</x:v>
      </x:c>
      <x:c r="Q122" s="39">
        <x:f t="shared" si="6"/>
        <x:v>0</x:v>
      </x:c>
      <x:c r="R122" s="39">
        <x:f t="shared" si="7"/>
        <x:v>0</x:v>
      </x:c>
      <x:c r="S122" s="39">
        <x:f t="shared" si="8"/>
        <x:v>0</x:v>
      </x:c>
      <x:c r="T122" s="39">
        <x:f t="shared" si="9"/>
        <x:v>0</x:v>
      </x:c>
    </x:row>
    <x:row r="123">
      <x:c r="H123" s="7" t="str">
        <x:f t="shared" si="1"/>
      </x:c>
      <x:c r="K123" s="39">
        <x:f t="shared" si="2"/>
        <x:v>0</x:v>
      </x:c>
      <x:c r="L123" s="39">
        <x:f t="shared" si="3"/>
        <x:v>0</x:v>
      </x:c>
      <x:c r="M123" s="39">
        <x:f t="shared" si="4"/>
        <x:v>0</x:v>
      </x:c>
      <x:c r="N123" s="39">
        <x:f t="shared" si="5"/>
        <x:v>0</x:v>
      </x:c>
      <x:c r="Q123" s="39">
        <x:f t="shared" si="6"/>
        <x:v>0</x:v>
      </x:c>
      <x:c r="R123" s="39">
        <x:f t="shared" si="7"/>
        <x:v>0</x:v>
      </x:c>
      <x:c r="S123" s="39">
        <x:f t="shared" si="8"/>
        <x:v>0</x:v>
      </x:c>
      <x:c r="T123" s="39">
        <x:f t="shared" si="9"/>
        <x:v>0</x:v>
      </x:c>
    </x:row>
    <x:row r="124">
      <x:c r="H124" s="7" t="str">
        <x:f t="shared" si="1"/>
      </x:c>
      <x:c r="K124" s="39">
        <x:f t="shared" si="2"/>
        <x:v>0</x:v>
      </x:c>
      <x:c r="L124" s="39">
        <x:f t="shared" si="3"/>
        <x:v>0</x:v>
      </x:c>
      <x:c r="M124" s="39">
        <x:f t="shared" si="4"/>
        <x:v>0</x:v>
      </x:c>
      <x:c r="N124" s="39">
        <x:f t="shared" si="5"/>
        <x:v>0</x:v>
      </x:c>
      <x:c r="Q124" s="39">
        <x:f t="shared" si="6"/>
        <x:v>0</x:v>
      </x:c>
      <x:c r="R124" s="39">
        <x:f t="shared" si="7"/>
        <x:v>0</x:v>
      </x:c>
      <x:c r="S124" s="39">
        <x:f t="shared" si="8"/>
        <x:v>0</x:v>
      </x:c>
      <x:c r="T124" s="39">
        <x:f t="shared" si="9"/>
        <x:v>0</x:v>
      </x:c>
    </x:row>
    <x:row r="125">
      <x:c r="H125" s="7" t="str">
        <x:f t="shared" si="1"/>
      </x:c>
      <x:c r="K125" s="39">
        <x:f t="shared" si="2"/>
        <x:v>0</x:v>
      </x:c>
      <x:c r="L125" s="39">
        <x:f t="shared" si="3"/>
        <x:v>0</x:v>
      </x:c>
      <x:c r="M125" s="39">
        <x:f t="shared" si="4"/>
        <x:v>0</x:v>
      </x:c>
      <x:c r="N125" s="39">
        <x:f t="shared" si="5"/>
        <x:v>0</x:v>
      </x:c>
      <x:c r="Q125" s="39">
        <x:f t="shared" si="6"/>
        <x:v>0</x:v>
      </x:c>
      <x:c r="R125" s="39">
        <x:f t="shared" si="7"/>
        <x:v>0</x:v>
      </x:c>
      <x:c r="S125" s="39">
        <x:f t="shared" si="8"/>
        <x:v>0</x:v>
      </x:c>
      <x:c r="T125" s="39">
        <x:f t="shared" si="9"/>
        <x:v>0</x:v>
      </x:c>
    </x:row>
    <x:row r="126">
      <x:c r="H126" s="7" t="str">
        <x:f t="shared" si="1"/>
      </x:c>
      <x:c r="K126" s="39">
        <x:f t="shared" si="2"/>
        <x:v>0</x:v>
      </x:c>
      <x:c r="L126" s="39">
        <x:f t="shared" si="3"/>
        <x:v>0</x:v>
      </x:c>
      <x:c r="M126" s="39">
        <x:f t="shared" si="4"/>
        <x:v>0</x:v>
      </x:c>
      <x:c r="N126" s="39">
        <x:f t="shared" si="5"/>
        <x:v>0</x:v>
      </x:c>
      <x:c r="Q126" s="39">
        <x:f t="shared" si="6"/>
        <x:v>0</x:v>
      </x:c>
      <x:c r="R126" s="39">
        <x:f t="shared" si="7"/>
        <x:v>0</x:v>
      </x:c>
      <x:c r="S126" s="39">
        <x:f t="shared" si="8"/>
        <x:v>0</x:v>
      </x:c>
      <x:c r="T126" s="39">
        <x:f t="shared" si="9"/>
        <x:v>0</x:v>
      </x:c>
    </x:row>
    <x:row r="127">
      <x:c r="H127" s="7" t="str">
        <x:f t="shared" si="1"/>
      </x:c>
      <x:c r="K127" s="39">
        <x:f t="shared" si="2"/>
        <x:v>0</x:v>
      </x:c>
      <x:c r="L127" s="39">
        <x:f t="shared" si="3"/>
        <x:v>0</x:v>
      </x:c>
      <x:c r="M127" s="39">
        <x:f t="shared" si="4"/>
        <x:v>0</x:v>
      </x:c>
      <x:c r="N127" s="39">
        <x:f t="shared" si="5"/>
        <x:v>0</x:v>
      </x:c>
      <x:c r="Q127" s="39">
        <x:f t="shared" si="6"/>
        <x:v>0</x:v>
      </x:c>
      <x:c r="R127" s="39">
        <x:f t="shared" si="7"/>
        <x:v>0</x:v>
      </x:c>
      <x:c r="S127" s="39">
        <x:f t="shared" si="8"/>
        <x:v>0</x:v>
      </x:c>
      <x:c r="T127" s="39">
        <x:f t="shared" si="9"/>
        <x:v>0</x:v>
      </x:c>
    </x:row>
    <x:row r="128">
      <x:c r="H128" s="7" t="str">
        <x:f t="shared" si="1"/>
      </x:c>
      <x:c r="K128" s="39">
        <x:f t="shared" si="2"/>
        <x:v>0</x:v>
      </x:c>
      <x:c r="L128" s="39">
        <x:f t="shared" si="3"/>
        <x:v>0</x:v>
      </x:c>
      <x:c r="M128" s="39">
        <x:f t="shared" si="4"/>
        <x:v>0</x:v>
      </x:c>
      <x:c r="N128" s="39">
        <x:f t="shared" si="5"/>
        <x:v>0</x:v>
      </x:c>
      <x:c r="Q128" s="39">
        <x:f t="shared" si="6"/>
        <x:v>0</x:v>
      </x:c>
      <x:c r="R128" s="39">
        <x:f t="shared" si="7"/>
        <x:v>0</x:v>
      </x:c>
      <x:c r="S128" s="39">
        <x:f t="shared" si="8"/>
        <x:v>0</x:v>
      </x:c>
      <x:c r="T128" s="39">
        <x:f t="shared" si="9"/>
        <x:v>0</x:v>
      </x:c>
    </x:row>
    <x:row r="129">
      <x:c r="H129" s="7" t="str">
        <x:f t="shared" si="1"/>
      </x:c>
      <x:c r="K129" s="39">
        <x:f t="shared" si="2"/>
        <x:v>0</x:v>
      </x:c>
      <x:c r="L129" s="39">
        <x:f t="shared" si="3"/>
        <x:v>0</x:v>
      </x:c>
      <x:c r="M129" s="39">
        <x:f t="shared" si="4"/>
        <x:v>0</x:v>
      </x:c>
      <x:c r="N129" s="39">
        <x:f t="shared" si="5"/>
        <x:v>0</x:v>
      </x:c>
      <x:c r="Q129" s="39">
        <x:f t="shared" si="6"/>
        <x:v>0</x:v>
      </x:c>
      <x:c r="R129" s="39">
        <x:f t="shared" si="7"/>
        <x:v>0</x:v>
      </x:c>
      <x:c r="S129" s="39">
        <x:f t="shared" si="8"/>
        <x:v>0</x:v>
      </x:c>
      <x:c r="T129" s="39">
        <x:f t="shared" si="9"/>
        <x:v>0</x:v>
      </x:c>
    </x:row>
    <x:row r="130">
      <x:c r="H130" s="7" t="str">
        <x:f t="shared" si="1"/>
      </x:c>
      <x:c r="K130" s="39">
        <x:f t="shared" si="2"/>
        <x:v>0</x:v>
      </x:c>
      <x:c r="L130" s="39">
        <x:f t="shared" si="3"/>
        <x:v>0</x:v>
      </x:c>
      <x:c r="M130" s="39">
        <x:f t="shared" si="4"/>
        <x:v>0</x:v>
      </x:c>
      <x:c r="N130" s="39">
        <x:f t="shared" si="5"/>
        <x:v>0</x:v>
      </x:c>
      <x:c r="Q130" s="39">
        <x:f t="shared" si="6"/>
        <x:v>0</x:v>
      </x:c>
      <x:c r="R130" s="39">
        <x:f t="shared" si="7"/>
        <x:v>0</x:v>
      </x:c>
      <x:c r="S130" s="39">
        <x:f t="shared" si="8"/>
        <x:v>0</x:v>
      </x:c>
      <x:c r="T130" s="39">
        <x:f t="shared" si="9"/>
        <x:v>0</x:v>
      </x:c>
    </x:row>
    <x:row r="131">
      <x:c r="H131" s="7" t="str">
        <x:f t="shared" si="1"/>
      </x:c>
      <x:c r="K131" s="39">
        <x:f t="shared" si="2"/>
        <x:v>0</x:v>
      </x:c>
      <x:c r="L131" s="39">
        <x:f t="shared" si="3"/>
        <x:v>0</x:v>
      </x:c>
      <x:c r="M131" s="39">
        <x:f t="shared" si="4"/>
        <x:v>0</x:v>
      </x:c>
      <x:c r="N131" s="39">
        <x:f t="shared" si="5"/>
        <x:v>0</x:v>
      </x:c>
      <x:c r="Q131" s="39">
        <x:f t="shared" si="6"/>
        <x:v>0</x:v>
      </x:c>
      <x:c r="R131" s="39">
        <x:f t="shared" si="7"/>
        <x:v>0</x:v>
      </x:c>
      <x:c r="S131" s="39">
        <x:f t="shared" si="8"/>
        <x:v>0</x:v>
      </x:c>
      <x:c r="T131" s="39">
        <x:f t="shared" si="9"/>
        <x:v>0</x:v>
      </x:c>
    </x:row>
    <x:row r="132">
      <x:c r="H132" s="7" t="str">
        <x:f t="shared" si="1"/>
      </x:c>
      <x:c r="K132" s="39">
        <x:f t="shared" si="2"/>
        <x:v>0</x:v>
      </x:c>
      <x:c r="L132" s="39">
        <x:f t="shared" si="3"/>
        <x:v>0</x:v>
      </x:c>
      <x:c r="M132" s="39">
        <x:f t="shared" si="4"/>
        <x:v>0</x:v>
      </x:c>
      <x:c r="N132" s="39">
        <x:f t="shared" si="5"/>
        <x:v>0</x:v>
      </x:c>
      <x:c r="Q132" s="39">
        <x:f t="shared" si="6"/>
        <x:v>0</x:v>
      </x:c>
      <x:c r="R132" s="39">
        <x:f t="shared" si="7"/>
        <x:v>0</x:v>
      </x:c>
      <x:c r="S132" s="39">
        <x:f t="shared" si="8"/>
        <x:v>0</x:v>
      </x:c>
      <x:c r="T132" s="39">
        <x:f t="shared" si="9"/>
        <x:v>0</x:v>
      </x:c>
    </x:row>
    <x:row r="133">
      <x:c r="H133" s="7" t="str">
        <x:f t="shared" si="1"/>
      </x:c>
      <x:c r="K133" s="39">
        <x:f t="shared" si="2"/>
        <x:v>0</x:v>
      </x:c>
      <x:c r="L133" s="39">
        <x:f t="shared" si="3"/>
        <x:v>0</x:v>
      </x:c>
      <x:c r="M133" s="39">
        <x:f t="shared" si="4"/>
        <x:v>0</x:v>
      </x:c>
      <x:c r="N133" s="39">
        <x:f t="shared" si="5"/>
        <x:v>0</x:v>
      </x:c>
      <x:c r="Q133" s="39">
        <x:f t="shared" si="6"/>
        <x:v>0</x:v>
      </x:c>
      <x:c r="R133" s="39">
        <x:f t="shared" si="7"/>
        <x:v>0</x:v>
      </x:c>
      <x:c r="S133" s="39">
        <x:f t="shared" si="8"/>
        <x:v>0</x:v>
      </x:c>
      <x:c r="T133" s="39">
        <x:f t="shared" si="9"/>
        <x:v>0</x:v>
      </x:c>
    </x:row>
    <x:row r="134">
      <x:c r="H134" s="7" t="str">
        <x:f t="shared" si="1"/>
      </x:c>
      <x:c r="K134" s="39">
        <x:f t="shared" si="2"/>
        <x:v>0</x:v>
      </x:c>
      <x:c r="L134" s="39">
        <x:f t="shared" si="3"/>
        <x:v>0</x:v>
      </x:c>
      <x:c r="M134" s="39">
        <x:f t="shared" si="4"/>
        <x:v>0</x:v>
      </x:c>
      <x:c r="N134" s="39">
        <x:f t="shared" si="5"/>
        <x:v>0</x:v>
      </x:c>
      <x:c r="Q134" s="39">
        <x:f t="shared" si="6"/>
        <x:v>0</x:v>
      </x:c>
      <x:c r="R134" s="39">
        <x:f t="shared" si="7"/>
        <x:v>0</x:v>
      </x:c>
      <x:c r="S134" s="39">
        <x:f t="shared" si="8"/>
        <x:v>0</x:v>
      </x:c>
      <x:c r="T134" s="39">
        <x:f t="shared" si="9"/>
        <x:v>0</x:v>
      </x:c>
    </x:row>
    <x:row r="135">
      <x:c r="H135" s="7" t="str">
        <x:f t="shared" si="1"/>
      </x:c>
      <x:c r="K135" s="39">
        <x:f t="shared" si="2"/>
        <x:v>0</x:v>
      </x:c>
      <x:c r="L135" s="39">
        <x:f t="shared" si="3"/>
        <x:v>0</x:v>
      </x:c>
      <x:c r="M135" s="39">
        <x:f t="shared" si="4"/>
        <x:v>0</x:v>
      </x:c>
      <x:c r="N135" s="39">
        <x:f t="shared" si="5"/>
        <x:v>0</x:v>
      </x:c>
      <x:c r="Q135" s="39">
        <x:f t="shared" si="6"/>
        <x:v>0</x:v>
      </x:c>
      <x:c r="R135" s="39">
        <x:f t="shared" si="7"/>
        <x:v>0</x:v>
      </x:c>
      <x:c r="S135" s="39">
        <x:f t="shared" si="8"/>
        <x:v>0</x:v>
      </x:c>
      <x:c r="T135" s="39">
        <x:f t="shared" si="9"/>
        <x:v>0</x:v>
      </x:c>
    </x:row>
    <x:row r="136">
      <x:c r="H136" s="7" t="str">
        <x:f t="shared" si="1"/>
      </x:c>
      <x:c r="K136" s="39">
        <x:f t="shared" si="2"/>
        <x:v>0</x:v>
      </x:c>
      <x:c r="L136" s="39">
        <x:f t="shared" si="3"/>
        <x:v>0</x:v>
      </x:c>
      <x:c r="M136" s="39">
        <x:f t="shared" si="4"/>
        <x:v>0</x:v>
      </x:c>
      <x:c r="N136" s="39">
        <x:f t="shared" si="5"/>
        <x:v>0</x:v>
      </x:c>
      <x:c r="Q136" s="39">
        <x:f t="shared" si="6"/>
        <x:v>0</x:v>
      </x:c>
      <x:c r="R136" s="39">
        <x:f t="shared" si="7"/>
        <x:v>0</x:v>
      </x:c>
      <x:c r="S136" s="39">
        <x:f t="shared" si="8"/>
        <x:v>0</x:v>
      </x:c>
      <x:c r="T136" s="39">
        <x:f t="shared" si="9"/>
        <x:v>0</x:v>
      </x:c>
    </x:row>
    <x:row r="137">
      <x:c r="H137" s="7" t="str">
        <x:f t="shared" si="1"/>
      </x:c>
      <x:c r="K137" s="39">
        <x:f t="shared" si="2"/>
        <x:v>0</x:v>
      </x:c>
      <x:c r="L137" s="39">
        <x:f t="shared" si="3"/>
        <x:v>0</x:v>
      </x:c>
      <x:c r="M137" s="39">
        <x:f t="shared" si="4"/>
        <x:v>0</x:v>
      </x:c>
      <x:c r="N137" s="39">
        <x:f t="shared" si="5"/>
        <x:v>0</x:v>
      </x:c>
      <x:c r="Q137" s="39">
        <x:f t="shared" si="6"/>
        <x:v>0</x:v>
      </x:c>
      <x:c r="R137" s="39">
        <x:f t="shared" si="7"/>
        <x:v>0</x:v>
      </x:c>
      <x:c r="S137" s="39">
        <x:f t="shared" si="8"/>
        <x:v>0</x:v>
      </x:c>
      <x:c r="T137" s="39">
        <x:f t="shared" si="9"/>
        <x:v>0</x:v>
      </x:c>
    </x:row>
    <x:row r="138">
      <x:c r="H138" s="7" t="str">
        <x:f t="shared" si="1"/>
      </x:c>
      <x:c r="K138" s="39">
        <x:f t="shared" si="2"/>
        <x:v>0</x:v>
      </x:c>
      <x:c r="L138" s="39">
        <x:f t="shared" si="3"/>
        <x:v>0</x:v>
      </x:c>
      <x:c r="M138" s="39">
        <x:f t="shared" si="4"/>
        <x:v>0</x:v>
      </x:c>
      <x:c r="N138" s="39">
        <x:f t="shared" si="5"/>
        <x:v>0</x:v>
      </x:c>
      <x:c r="Q138" s="39">
        <x:f t="shared" si="6"/>
        <x:v>0</x:v>
      </x:c>
      <x:c r="R138" s="39">
        <x:f t="shared" si="7"/>
        <x:v>0</x:v>
      </x:c>
      <x:c r="S138" s="39">
        <x:f t="shared" si="8"/>
        <x:v>0</x:v>
      </x:c>
      <x:c r="T138" s="39">
        <x:f t="shared" si="9"/>
        <x:v>0</x:v>
      </x:c>
    </x:row>
    <x:row r="139">
      <x:c r="H139" s="7" t="str">
        <x:f t="shared" si="1"/>
      </x:c>
      <x:c r="K139" s="39">
        <x:f t="shared" si="2"/>
        <x:v>0</x:v>
      </x:c>
      <x:c r="L139" s="39">
        <x:f t="shared" si="3"/>
        <x:v>0</x:v>
      </x:c>
      <x:c r="M139" s="39">
        <x:f t="shared" si="4"/>
        <x:v>0</x:v>
      </x:c>
      <x:c r="N139" s="39">
        <x:f t="shared" si="5"/>
        <x:v>0</x:v>
      </x:c>
      <x:c r="Q139" s="39">
        <x:f t="shared" si="6"/>
        <x:v>0</x:v>
      </x:c>
      <x:c r="R139" s="39">
        <x:f t="shared" si="7"/>
        <x:v>0</x:v>
      </x:c>
      <x:c r="S139" s="39">
        <x:f t="shared" si="8"/>
        <x:v>0</x:v>
      </x:c>
      <x:c r="T139" s="39">
        <x:f t="shared" si="9"/>
        <x:v>0</x:v>
      </x:c>
    </x:row>
    <x:row r="140">
      <x:c r="H140" s="7" t="str">
        <x:f t="shared" si="1"/>
      </x:c>
      <x:c r="K140" s="39">
        <x:f t="shared" si="2"/>
        <x:v>0</x:v>
      </x:c>
      <x:c r="L140" s="39">
        <x:f t="shared" si="3"/>
        <x:v>0</x:v>
      </x:c>
      <x:c r="M140" s="39">
        <x:f t="shared" si="4"/>
        <x:v>0</x:v>
      </x:c>
      <x:c r="N140" s="39">
        <x:f t="shared" si="5"/>
        <x:v>0</x:v>
      </x:c>
      <x:c r="Q140" s="39">
        <x:f t="shared" si="6"/>
        <x:v>0</x:v>
      </x:c>
      <x:c r="R140" s="39">
        <x:f t="shared" si="7"/>
        <x:v>0</x:v>
      </x:c>
      <x:c r="S140" s="39">
        <x:f t="shared" si="8"/>
        <x:v>0</x:v>
      </x:c>
      <x:c r="T140" s="39">
        <x:f t="shared" si="9"/>
        <x:v>0</x:v>
      </x:c>
    </x:row>
    <x:row r="141">
      <x:c r="H141" s="7" t="str">
        <x:f t="shared" si="1"/>
      </x:c>
      <x:c r="K141" s="39">
        <x:f t="shared" si="2"/>
        <x:v>0</x:v>
      </x:c>
      <x:c r="L141" s="39">
        <x:f t="shared" si="3"/>
        <x:v>0</x:v>
      </x:c>
      <x:c r="M141" s="39">
        <x:f t="shared" si="4"/>
        <x:v>0</x:v>
      </x:c>
      <x:c r="N141" s="39">
        <x:f t="shared" si="5"/>
        <x:v>0</x:v>
      </x:c>
      <x:c r="Q141" s="39">
        <x:f t="shared" si="6"/>
        <x:v>0</x:v>
      </x:c>
      <x:c r="R141" s="39">
        <x:f t="shared" si="7"/>
        <x:v>0</x:v>
      </x:c>
      <x:c r="S141" s="39">
        <x:f t="shared" si="8"/>
        <x:v>0</x:v>
      </x:c>
      <x:c r="T141" s="39">
        <x:f t="shared" si="9"/>
        <x:v>0</x:v>
      </x:c>
    </x:row>
    <x:row r="142">
      <x:c r="H142" s="7" t="str">
        <x:f t="shared" si="1"/>
      </x:c>
      <x:c r="K142" s="39">
        <x:f t="shared" si="2"/>
        <x:v>0</x:v>
      </x:c>
      <x:c r="L142" s="39">
        <x:f t="shared" si="3"/>
        <x:v>0</x:v>
      </x:c>
      <x:c r="M142" s="39">
        <x:f t="shared" si="4"/>
        <x:v>0</x:v>
      </x:c>
      <x:c r="N142" s="39">
        <x:f t="shared" si="5"/>
        <x:v>0</x:v>
      </x:c>
      <x:c r="Q142" s="39">
        <x:f t="shared" si="6"/>
        <x:v>0</x:v>
      </x:c>
      <x:c r="R142" s="39">
        <x:f t="shared" si="7"/>
        <x:v>0</x:v>
      </x:c>
      <x:c r="S142" s="39">
        <x:f t="shared" si="8"/>
        <x:v>0</x:v>
      </x:c>
      <x:c r="T142" s="39">
        <x:f t="shared" si="9"/>
        <x:v>0</x:v>
      </x:c>
    </x:row>
    <x:row r="143">
      <x:c r="H143" s="7" t="str">
        <x:f t="shared" si="1"/>
      </x:c>
      <x:c r="K143" s="39">
        <x:f t="shared" si="2"/>
        <x:v>0</x:v>
      </x:c>
      <x:c r="L143" s="39">
        <x:f t="shared" si="3"/>
        <x:v>0</x:v>
      </x:c>
      <x:c r="M143" s="39">
        <x:f t="shared" si="4"/>
        <x:v>0</x:v>
      </x:c>
      <x:c r="N143" s="39">
        <x:f t="shared" si="5"/>
        <x:v>0</x:v>
      </x:c>
      <x:c r="Q143" s="39">
        <x:f t="shared" si="6"/>
        <x:v>0</x:v>
      </x:c>
      <x:c r="R143" s="39">
        <x:f t="shared" si="7"/>
        <x:v>0</x:v>
      </x:c>
      <x:c r="S143" s="39">
        <x:f t="shared" si="8"/>
        <x:v>0</x:v>
      </x:c>
      <x:c r="T143" s="39">
        <x:f t="shared" si="9"/>
        <x:v>0</x:v>
      </x:c>
    </x:row>
    <x:row r="144">
      <x:c r="H144" s="7" t="str">
        <x:f t="shared" si="1"/>
      </x:c>
      <x:c r="K144" s="39">
        <x:f t="shared" si="2"/>
        <x:v>0</x:v>
      </x:c>
      <x:c r="L144" s="39">
        <x:f t="shared" si="3"/>
        <x:v>0</x:v>
      </x:c>
      <x:c r="M144" s="39">
        <x:f t="shared" si="4"/>
        <x:v>0</x:v>
      </x:c>
      <x:c r="N144" s="39">
        <x:f t="shared" si="5"/>
        <x:v>0</x:v>
      </x:c>
      <x:c r="Q144" s="39">
        <x:f t="shared" si="6"/>
        <x:v>0</x:v>
      </x:c>
      <x:c r="R144" s="39">
        <x:f t="shared" si="7"/>
        <x:v>0</x:v>
      </x:c>
      <x:c r="S144" s="39">
        <x:f t="shared" si="8"/>
        <x:v>0</x:v>
      </x:c>
      <x:c r="T144" s="39">
        <x:f t="shared" si="9"/>
        <x:v>0</x:v>
      </x:c>
    </x:row>
    <x:row r="145">
      <x:c r="H145" s="7" t="str">
        <x:f t="shared" si="1"/>
      </x:c>
      <x:c r="K145" s="39">
        <x:f t="shared" si="2"/>
        <x:v>0</x:v>
      </x:c>
      <x:c r="L145" s="39">
        <x:f t="shared" si="3"/>
        <x:v>0</x:v>
      </x:c>
      <x:c r="M145" s="39">
        <x:f t="shared" si="4"/>
        <x:v>0</x:v>
      </x:c>
      <x:c r="N145" s="39">
        <x:f t="shared" si="5"/>
        <x:v>0</x:v>
      </x:c>
      <x:c r="Q145" s="39">
        <x:f t="shared" si="6"/>
        <x:v>0</x:v>
      </x:c>
      <x:c r="R145" s="39">
        <x:f t="shared" si="7"/>
        <x:v>0</x:v>
      </x:c>
      <x:c r="S145" s="39">
        <x:f t="shared" si="8"/>
        <x:v>0</x:v>
      </x:c>
      <x:c r="T145" s="39">
        <x:f t="shared" si="9"/>
        <x:v>0</x:v>
      </x:c>
    </x:row>
    <x:row r="146">
      <x:c r="H146" s="7" t="str">
        <x:f t="shared" si="1"/>
      </x:c>
      <x:c r="K146" s="39">
        <x:f t="shared" si="2"/>
        <x:v>0</x:v>
      </x:c>
      <x:c r="L146" s="39">
        <x:f t="shared" si="3"/>
        <x:v>0</x:v>
      </x:c>
      <x:c r="M146" s="39">
        <x:f t="shared" si="4"/>
        <x:v>0</x:v>
      </x:c>
      <x:c r="N146" s="39">
        <x:f t="shared" si="5"/>
        <x:v>0</x:v>
      </x:c>
      <x:c r="Q146" s="39">
        <x:f t="shared" si="6"/>
        <x:v>0</x:v>
      </x:c>
      <x:c r="R146" s="39">
        <x:f t="shared" si="7"/>
        <x:v>0</x:v>
      </x:c>
      <x:c r="S146" s="39">
        <x:f t="shared" si="8"/>
        <x:v>0</x:v>
      </x:c>
      <x:c r="T146" s="39">
        <x:f t="shared" si="9"/>
        <x:v>0</x:v>
      </x:c>
    </x:row>
    <x:row r="147">
      <x:c r="H147" s="7" t="str">
        <x:f t="shared" si="1"/>
      </x:c>
      <x:c r="K147" s="39">
        <x:f t="shared" si="2"/>
        <x:v>0</x:v>
      </x:c>
      <x:c r="L147" s="39">
        <x:f t="shared" si="3"/>
        <x:v>0</x:v>
      </x:c>
      <x:c r="M147" s="39">
        <x:f t="shared" si="4"/>
        <x:v>0</x:v>
      </x:c>
      <x:c r="N147" s="39">
        <x:f t="shared" si="5"/>
        <x:v>0</x:v>
      </x:c>
      <x:c r="Q147" s="39">
        <x:f t="shared" si="6"/>
        <x:v>0</x:v>
      </x:c>
      <x:c r="R147" s="39">
        <x:f t="shared" si="7"/>
        <x:v>0</x:v>
      </x:c>
      <x:c r="S147" s="39">
        <x:f t="shared" si="8"/>
        <x:v>0</x:v>
      </x:c>
      <x:c r="T147" s="39">
        <x:f t="shared" si="9"/>
        <x:v>0</x:v>
      </x:c>
    </x:row>
    <x:row r="148">
      <x:c r="H148" s="7" t="str">
        <x:f t="shared" si="1"/>
      </x:c>
      <x:c r="K148" s="39">
        <x:f t="shared" si="2"/>
        <x:v>0</x:v>
      </x:c>
      <x:c r="L148" s="39">
        <x:f t="shared" si="3"/>
        <x:v>0</x:v>
      </x:c>
      <x:c r="M148" s="39">
        <x:f t="shared" si="4"/>
        <x:v>0</x:v>
      </x:c>
      <x:c r="N148" s="39">
        <x:f t="shared" si="5"/>
        <x:v>0</x:v>
      </x:c>
      <x:c r="Q148" s="39">
        <x:f t="shared" si="6"/>
        <x:v>0</x:v>
      </x:c>
      <x:c r="R148" s="39">
        <x:f t="shared" si="7"/>
        <x:v>0</x:v>
      </x:c>
      <x:c r="S148" s="39">
        <x:f t="shared" si="8"/>
        <x:v>0</x:v>
      </x:c>
      <x:c r="T148" s="39">
        <x:f t="shared" si="9"/>
        <x:v>0</x:v>
      </x:c>
    </x:row>
    <x:row r="149">
      <x:c r="H149" s="7" t="str">
        <x:f t="shared" si="1"/>
      </x:c>
      <x:c r="K149" s="39">
        <x:f t="shared" si="2"/>
        <x:v>0</x:v>
      </x:c>
      <x:c r="L149" s="39">
        <x:f t="shared" si="3"/>
        <x:v>0</x:v>
      </x:c>
      <x:c r="M149" s="39">
        <x:f t="shared" si="4"/>
        <x:v>0</x:v>
      </x:c>
      <x:c r="N149" s="39">
        <x:f t="shared" si="5"/>
        <x:v>0</x:v>
      </x:c>
      <x:c r="Q149" s="39">
        <x:f t="shared" si="6"/>
        <x:v>0</x:v>
      </x:c>
      <x:c r="R149" s="39">
        <x:f t="shared" si="7"/>
        <x:v>0</x:v>
      </x:c>
      <x:c r="S149" s="39">
        <x:f t="shared" si="8"/>
        <x:v>0</x:v>
      </x:c>
      <x:c r="T149" s="39">
        <x:f t="shared" si="9"/>
        <x:v>0</x:v>
      </x:c>
    </x:row>
    <x:row r="150">
      <x:c r="H150" s="7" t="str">
        <x:f t="shared" si="1"/>
      </x:c>
      <x:c r="K150" s="39">
        <x:f t="shared" si="2"/>
        <x:v>0</x:v>
      </x:c>
      <x:c r="L150" s="39">
        <x:f t="shared" si="3"/>
        <x:v>0</x:v>
      </x:c>
      <x:c r="M150" s="39">
        <x:f t="shared" si="4"/>
        <x:v>0</x:v>
      </x:c>
      <x:c r="N150" s="39">
        <x:f t="shared" si="5"/>
        <x:v>0</x:v>
      </x:c>
      <x:c r="Q150" s="39">
        <x:f t="shared" si="6"/>
        <x:v>0</x:v>
      </x:c>
      <x:c r="R150" s="39">
        <x:f t="shared" si="7"/>
        <x:v>0</x:v>
      </x:c>
      <x:c r="S150" s="39">
        <x:f t="shared" si="8"/>
        <x:v>0</x:v>
      </x:c>
      <x:c r="T150" s="39">
        <x:f t="shared" si="9"/>
        <x:v>0</x:v>
      </x:c>
    </x:row>
    <x:row r="151">
      <x:c r="H151" s="7" t="str">
        <x:f t="shared" si="1"/>
      </x:c>
      <x:c r="K151" s="39">
        <x:f t="shared" si="2"/>
        <x:v>0</x:v>
      </x:c>
      <x:c r="L151" s="39">
        <x:f t="shared" si="3"/>
        <x:v>0</x:v>
      </x:c>
      <x:c r="M151" s="39">
        <x:f t="shared" si="4"/>
        <x:v>0</x:v>
      </x:c>
      <x:c r="N151" s="39">
        <x:f t="shared" si="5"/>
        <x:v>0</x:v>
      </x:c>
      <x:c r="Q151" s="39">
        <x:f t="shared" si="6"/>
        <x:v>0</x:v>
      </x:c>
      <x:c r="R151" s="39">
        <x:f t="shared" si="7"/>
        <x:v>0</x:v>
      </x:c>
      <x:c r="S151" s="39">
        <x:f t="shared" si="8"/>
        <x:v>0</x:v>
      </x:c>
      <x:c r="T151" s="39">
        <x:f t="shared" si="9"/>
        <x:v>0</x:v>
      </x:c>
    </x:row>
    <x:row r="152">
      <x:c r="H152" s="7" t="str">
        <x:f t="shared" si="1"/>
      </x:c>
      <x:c r="K152" s="39">
        <x:f t="shared" si="2"/>
        <x:v>0</x:v>
      </x:c>
      <x:c r="L152" s="39">
        <x:f t="shared" si="3"/>
        <x:v>0</x:v>
      </x:c>
      <x:c r="M152" s="39">
        <x:f t="shared" si="4"/>
        <x:v>0</x:v>
      </x:c>
      <x:c r="N152" s="39">
        <x:f t="shared" si="5"/>
        <x:v>0</x:v>
      </x:c>
      <x:c r="Q152" s="39">
        <x:f t="shared" si="6"/>
        <x:v>0</x:v>
      </x:c>
      <x:c r="R152" s="39">
        <x:f t="shared" si="7"/>
        <x:v>0</x:v>
      </x:c>
      <x:c r="S152" s="39">
        <x:f t="shared" si="8"/>
        <x:v>0</x:v>
      </x:c>
      <x:c r="T152" s="39">
        <x:f t="shared" si="9"/>
        <x:v>0</x:v>
      </x:c>
    </x:row>
    <x:row r="153">
      <x:c r="H153" s="7" t="str">
        <x:f t="shared" si="1"/>
      </x:c>
      <x:c r="K153" s="39">
        <x:f t="shared" si="2"/>
        <x:v>0</x:v>
      </x:c>
      <x:c r="L153" s="39">
        <x:f t="shared" si="3"/>
        <x:v>0</x:v>
      </x:c>
      <x:c r="M153" s="39">
        <x:f t="shared" si="4"/>
        <x:v>0</x:v>
      </x:c>
      <x:c r="N153" s="39">
        <x:f t="shared" si="5"/>
        <x:v>0</x:v>
      </x:c>
      <x:c r="Q153" s="39">
        <x:f t="shared" si="6"/>
        <x:v>0</x:v>
      </x:c>
      <x:c r="R153" s="39">
        <x:f t="shared" si="7"/>
        <x:v>0</x:v>
      </x:c>
      <x:c r="S153" s="39">
        <x:f t="shared" si="8"/>
        <x:v>0</x:v>
      </x:c>
      <x:c r="T153" s="39">
        <x:f t="shared" si="9"/>
        <x:v>0</x:v>
      </x:c>
    </x:row>
    <x:row r="154">
      <x:c r="H154" s="7" t="str">
        <x:f t="shared" si="1"/>
      </x:c>
      <x:c r="K154" s="39">
        <x:f t="shared" si="2"/>
        <x:v>0</x:v>
      </x:c>
      <x:c r="L154" s="39">
        <x:f t="shared" si="3"/>
        <x:v>0</x:v>
      </x:c>
      <x:c r="M154" s="39">
        <x:f t="shared" si="4"/>
        <x:v>0</x:v>
      </x:c>
      <x:c r="N154" s="39">
        <x:f t="shared" si="5"/>
        <x:v>0</x:v>
      </x:c>
      <x:c r="Q154" s="39">
        <x:f t="shared" si="6"/>
        <x:v>0</x:v>
      </x:c>
      <x:c r="R154" s="39">
        <x:f t="shared" si="7"/>
        <x:v>0</x:v>
      </x:c>
      <x:c r="S154" s="39">
        <x:f t="shared" si="8"/>
        <x:v>0</x:v>
      </x:c>
      <x:c r="T154" s="39">
        <x:f t="shared" si="9"/>
        <x:v>0</x:v>
      </x:c>
    </x:row>
    <x:row r="155">
      <x:c r="H155" s="7" t="str">
        <x:f t="shared" si="1"/>
      </x:c>
      <x:c r="K155" s="39">
        <x:f t="shared" si="2"/>
        <x:v>0</x:v>
      </x:c>
      <x:c r="L155" s="39">
        <x:f t="shared" si="3"/>
        <x:v>0</x:v>
      </x:c>
      <x:c r="M155" s="39">
        <x:f t="shared" si="4"/>
        <x:v>0</x:v>
      </x:c>
      <x:c r="N155" s="39">
        <x:f t="shared" si="5"/>
        <x:v>0</x:v>
      </x:c>
      <x:c r="Q155" s="39">
        <x:f t="shared" si="6"/>
        <x:v>0</x:v>
      </x:c>
      <x:c r="R155" s="39">
        <x:f t="shared" si="7"/>
        <x:v>0</x:v>
      </x:c>
      <x:c r="S155" s="39">
        <x:f t="shared" si="8"/>
        <x:v>0</x:v>
      </x:c>
      <x:c r="T155" s="39">
        <x:f t="shared" si="9"/>
        <x:v>0</x:v>
      </x:c>
    </x:row>
    <x:row r="156">
      <x:c r="H156" s="7" t="str">
        <x:f t="shared" si="1"/>
      </x:c>
      <x:c r="K156" s="39">
        <x:f t="shared" si="2"/>
        <x:v>0</x:v>
      </x:c>
      <x:c r="L156" s="39">
        <x:f t="shared" si="3"/>
        <x:v>0</x:v>
      </x:c>
      <x:c r="M156" s="39">
        <x:f t="shared" si="4"/>
        <x:v>0</x:v>
      </x:c>
      <x:c r="N156" s="39">
        <x:f t="shared" si="5"/>
        <x:v>0</x:v>
      </x:c>
      <x:c r="Q156" s="39">
        <x:f t="shared" si="6"/>
        <x:v>0</x:v>
      </x:c>
      <x:c r="R156" s="39">
        <x:f t="shared" si="7"/>
        <x:v>0</x:v>
      </x:c>
      <x:c r="S156" s="39">
        <x:f t="shared" si="8"/>
        <x:v>0</x:v>
      </x:c>
      <x:c r="T156" s="39">
        <x:f t="shared" si="9"/>
        <x:v>0</x:v>
      </x:c>
    </x:row>
    <x:row r="157">
      <x:c r="H157" s="7" t="str">
        <x:f t="shared" si="1"/>
      </x:c>
      <x:c r="K157" s="39">
        <x:f t="shared" si="2"/>
        <x:v>0</x:v>
      </x:c>
      <x:c r="L157" s="39">
        <x:f t="shared" si="3"/>
        <x:v>0</x:v>
      </x:c>
      <x:c r="M157" s="39">
        <x:f t="shared" si="4"/>
        <x:v>0</x:v>
      </x:c>
      <x:c r="N157" s="39">
        <x:f t="shared" si="5"/>
        <x:v>0</x:v>
      </x:c>
      <x:c r="Q157" s="39">
        <x:f t="shared" si="6"/>
        <x:v>0</x:v>
      </x:c>
      <x:c r="R157" s="39">
        <x:f t="shared" si="7"/>
        <x:v>0</x:v>
      </x:c>
      <x:c r="S157" s="39">
        <x:f t="shared" si="8"/>
        <x:v>0</x:v>
      </x:c>
      <x:c r="T157" s="39">
        <x:f t="shared" si="9"/>
        <x:v>0</x:v>
      </x:c>
    </x:row>
    <x:row r="158">
      <x:c r="H158" s="7" t="str">
        <x:f t="shared" si="1"/>
      </x:c>
      <x:c r="K158" s="39">
        <x:f t="shared" si="2"/>
        <x:v>0</x:v>
      </x:c>
      <x:c r="L158" s="39">
        <x:f t="shared" si="3"/>
        <x:v>0</x:v>
      </x:c>
      <x:c r="M158" s="39">
        <x:f t="shared" si="4"/>
        <x:v>0</x:v>
      </x:c>
      <x:c r="N158" s="39">
        <x:f t="shared" si="5"/>
        <x:v>0</x:v>
      </x:c>
      <x:c r="Q158" s="39">
        <x:f t="shared" si="6"/>
        <x:v>0</x:v>
      </x:c>
      <x:c r="R158" s="39">
        <x:f t="shared" si="7"/>
        <x:v>0</x:v>
      </x:c>
      <x:c r="S158" s="39">
        <x:f t="shared" si="8"/>
        <x:v>0</x:v>
      </x:c>
      <x:c r="T158" s="39">
        <x:f t="shared" si="9"/>
        <x:v>0</x:v>
      </x:c>
    </x:row>
    <x:row r="159">
      <x:c r="H159" s="7" t="str">
        <x:f t="shared" si="1"/>
      </x:c>
      <x:c r="K159" s="39">
        <x:f t="shared" si="2"/>
        <x:v>0</x:v>
      </x:c>
      <x:c r="L159" s="39">
        <x:f t="shared" si="3"/>
        <x:v>0</x:v>
      </x:c>
      <x:c r="M159" s="39">
        <x:f t="shared" si="4"/>
        <x:v>0</x:v>
      </x:c>
      <x:c r="N159" s="39">
        <x:f t="shared" si="5"/>
        <x:v>0</x:v>
      </x:c>
      <x:c r="Q159" s="39">
        <x:f t="shared" si="6"/>
        <x:v>0</x:v>
      </x:c>
      <x:c r="R159" s="39">
        <x:f t="shared" si="7"/>
        <x:v>0</x:v>
      </x:c>
      <x:c r="S159" s="39">
        <x:f t="shared" si="8"/>
        <x:v>0</x:v>
      </x:c>
      <x:c r="T159" s="39">
        <x:f t="shared" si="9"/>
        <x:v>0</x:v>
      </x:c>
    </x:row>
    <x:row r="160">
      <x:c r="H160" s="7" t="str">
        <x:f t="shared" si="1"/>
      </x:c>
      <x:c r="K160" s="39">
        <x:f t="shared" si="2"/>
        <x:v>0</x:v>
      </x:c>
      <x:c r="L160" s="39">
        <x:f t="shared" si="3"/>
        <x:v>0</x:v>
      </x:c>
      <x:c r="M160" s="39">
        <x:f t="shared" si="4"/>
        <x:v>0</x:v>
      </x:c>
      <x:c r="N160" s="39">
        <x:f t="shared" si="5"/>
        <x:v>0</x:v>
      </x:c>
      <x:c r="Q160" s="39">
        <x:f t="shared" si="6"/>
        <x:v>0</x:v>
      </x:c>
      <x:c r="R160" s="39">
        <x:f t="shared" si="7"/>
        <x:v>0</x:v>
      </x:c>
      <x:c r="S160" s="39">
        <x:f t="shared" si="8"/>
        <x:v>0</x:v>
      </x:c>
      <x:c r="T160" s="39">
        <x:f t="shared" si="9"/>
        <x:v>0</x:v>
      </x:c>
    </x:row>
    <x:row r="161">
      <x:c r="H161" s="7" t="str">
        <x:f t="shared" si="1"/>
      </x:c>
      <x:c r="K161" s="39">
        <x:f t="shared" si="2"/>
        <x:v>0</x:v>
      </x:c>
      <x:c r="L161" s="39">
        <x:f t="shared" si="3"/>
        <x:v>0</x:v>
      </x:c>
      <x:c r="M161" s="39">
        <x:f t="shared" si="4"/>
        <x:v>0</x:v>
      </x:c>
      <x:c r="N161" s="39">
        <x:f t="shared" si="5"/>
        <x:v>0</x:v>
      </x:c>
      <x:c r="Q161" s="39">
        <x:f t="shared" si="6"/>
        <x:v>0</x:v>
      </x:c>
      <x:c r="R161" s="39">
        <x:f t="shared" si="7"/>
        <x:v>0</x:v>
      </x:c>
      <x:c r="S161" s="39">
        <x:f t="shared" si="8"/>
        <x:v>0</x:v>
      </x:c>
      <x:c r="T161" s="39">
        <x:f t="shared" si="9"/>
        <x:v>0</x:v>
      </x:c>
    </x:row>
    <x:row r="162">
      <x:c r="H162" s="7" t="str">
        <x:f t="shared" si="1"/>
      </x:c>
      <x:c r="K162" s="39">
        <x:f t="shared" si="2"/>
        <x:v>0</x:v>
      </x:c>
      <x:c r="L162" s="39">
        <x:f t="shared" si="3"/>
        <x:v>0</x:v>
      </x:c>
      <x:c r="M162" s="39">
        <x:f t="shared" si="4"/>
        <x:v>0</x:v>
      </x:c>
      <x:c r="N162" s="39">
        <x:f t="shared" si="5"/>
        <x:v>0</x:v>
      </x:c>
      <x:c r="Q162" s="39">
        <x:f t="shared" si="6"/>
        <x:v>0</x:v>
      </x:c>
      <x:c r="R162" s="39">
        <x:f t="shared" si="7"/>
        <x:v>0</x:v>
      </x:c>
      <x:c r="S162" s="39">
        <x:f t="shared" si="8"/>
        <x:v>0</x:v>
      </x:c>
      <x:c r="T162" s="39">
        <x:f t="shared" si="9"/>
        <x:v>0</x:v>
      </x:c>
    </x:row>
    <x:row r="163">
      <x:c r="H163" s="7" t="str">
        <x:f t="shared" si="1"/>
      </x:c>
      <x:c r="K163" s="39">
        <x:f t="shared" si="2"/>
        <x:v>0</x:v>
      </x:c>
      <x:c r="L163" s="39">
        <x:f t="shared" si="3"/>
        <x:v>0</x:v>
      </x:c>
      <x:c r="M163" s="39">
        <x:f t="shared" si="4"/>
        <x:v>0</x:v>
      </x:c>
      <x:c r="N163" s="39">
        <x:f t="shared" si="5"/>
        <x:v>0</x:v>
      </x:c>
      <x:c r="Q163" s="39">
        <x:f t="shared" si="6"/>
        <x:v>0</x:v>
      </x:c>
      <x:c r="R163" s="39">
        <x:f t="shared" si="7"/>
        <x:v>0</x:v>
      </x:c>
      <x:c r="S163" s="39">
        <x:f t="shared" si="8"/>
        <x:v>0</x:v>
      </x:c>
      <x:c r="T163" s="39">
        <x:f t="shared" si="9"/>
        <x:v>0</x:v>
      </x:c>
    </x:row>
    <x:row r="164">
      <x:c r="H164" s="7" t="str">
        <x:f t="shared" si="1"/>
      </x:c>
      <x:c r="K164" s="39">
        <x:f t="shared" si="2"/>
        <x:v>0</x:v>
      </x:c>
      <x:c r="L164" s="39">
        <x:f t="shared" si="3"/>
        <x:v>0</x:v>
      </x:c>
      <x:c r="M164" s="39">
        <x:f t="shared" si="4"/>
        <x:v>0</x:v>
      </x:c>
      <x:c r="N164" s="39">
        <x:f t="shared" si="5"/>
        <x:v>0</x:v>
      </x:c>
      <x:c r="Q164" s="39">
        <x:f t="shared" si="6"/>
        <x:v>0</x:v>
      </x:c>
      <x:c r="R164" s="39">
        <x:f t="shared" si="7"/>
        <x:v>0</x:v>
      </x:c>
      <x:c r="S164" s="39">
        <x:f t="shared" si="8"/>
        <x:v>0</x:v>
      </x:c>
      <x:c r="T164" s="39">
        <x:f t="shared" si="9"/>
        <x:v>0</x:v>
      </x:c>
    </x:row>
    <x:row r="165">
      <x:c r="H165" s="7" t="str">
        <x:f t="shared" si="1"/>
      </x:c>
      <x:c r="K165" s="39">
        <x:f t="shared" si="2"/>
        <x:v>0</x:v>
      </x:c>
      <x:c r="L165" s="39">
        <x:f t="shared" si="3"/>
        <x:v>0</x:v>
      </x:c>
      <x:c r="M165" s="39">
        <x:f t="shared" si="4"/>
        <x:v>0</x:v>
      </x:c>
      <x:c r="N165" s="39">
        <x:f t="shared" si="5"/>
        <x:v>0</x:v>
      </x:c>
      <x:c r="Q165" s="39">
        <x:f t="shared" si="6"/>
        <x:v>0</x:v>
      </x:c>
      <x:c r="R165" s="39">
        <x:f t="shared" si="7"/>
        <x:v>0</x:v>
      </x:c>
      <x:c r="S165" s="39">
        <x:f t="shared" si="8"/>
        <x:v>0</x:v>
      </x:c>
      <x:c r="T165" s="39">
        <x:f t="shared" si="9"/>
        <x:v>0</x:v>
      </x:c>
    </x:row>
    <x:row r="166">
      <x:c r="H166" s="7" t="str">
        <x:f t="shared" si="1"/>
      </x:c>
      <x:c r="K166" s="39">
        <x:f t="shared" si="2"/>
        <x:v>0</x:v>
      </x:c>
      <x:c r="L166" s="39">
        <x:f t="shared" si="3"/>
        <x:v>0</x:v>
      </x:c>
      <x:c r="M166" s="39">
        <x:f t="shared" si="4"/>
        <x:v>0</x:v>
      </x:c>
      <x:c r="N166" s="39">
        <x:f t="shared" si="5"/>
        <x:v>0</x:v>
      </x:c>
      <x:c r="Q166" s="39">
        <x:f t="shared" si="6"/>
        <x:v>0</x:v>
      </x:c>
      <x:c r="R166" s="39">
        <x:f t="shared" si="7"/>
        <x:v>0</x:v>
      </x:c>
      <x:c r="S166" s="39">
        <x:f t="shared" si="8"/>
        <x:v>0</x:v>
      </x:c>
      <x:c r="T166" s="39">
        <x:f t="shared" si="9"/>
        <x:v>0</x:v>
      </x:c>
    </x:row>
    <x:row r="167">
      <x:c r="H167" s="7" t="str">
        <x:f t="shared" si="1"/>
      </x:c>
      <x:c r="K167" s="39">
        <x:f t="shared" si="2"/>
        <x:v>0</x:v>
      </x:c>
      <x:c r="L167" s="39">
        <x:f t="shared" si="3"/>
        <x:v>0</x:v>
      </x:c>
      <x:c r="M167" s="39">
        <x:f t="shared" si="4"/>
        <x:v>0</x:v>
      </x:c>
      <x:c r="N167" s="39">
        <x:f t="shared" si="5"/>
        <x:v>0</x:v>
      </x:c>
      <x:c r="Q167" s="39">
        <x:f t="shared" si="6"/>
        <x:v>0</x:v>
      </x:c>
      <x:c r="R167" s="39">
        <x:f t="shared" si="7"/>
        <x:v>0</x:v>
      </x:c>
      <x:c r="S167" s="39">
        <x:f t="shared" si="8"/>
        <x:v>0</x:v>
      </x:c>
      <x:c r="T167" s="39">
        <x:f t="shared" si="9"/>
        <x:v>0</x:v>
      </x:c>
    </x:row>
    <x:row r="168">
      <x:c r="H168" s="7" t="str">
        <x:f t="shared" si="1"/>
      </x:c>
      <x:c r="K168" s="39"/>
      <x:c r="L168" s="39"/>
      <x:c r="M168" s="39"/>
      <x:c r="N168" s="39"/>
      <x:c r="Q168" s="39"/>
      <x:c r="R168" s="39"/>
      <x:c r="S168" s="39"/>
      <x:c r="T168" s="39"/>
    </x:row>
    <x:row r="169">
      <x:c r="H169" s="7" t="str">
        <x:f t="shared" si="1"/>
      </x:c>
      <x:c r="K169" s="39"/>
      <x:c r="L169" s="39"/>
      <x:c r="M169" s="39"/>
      <x:c r="N169" s="39"/>
      <x:c r="Q169" s="39"/>
      <x:c r="R169" s="39"/>
      <x:c r="S169" s="39"/>
      <x:c r="T169" s="39"/>
    </x:row>
    <x:row r="170">
      <x:c r="H170" s="7" t="str">
        <x:f t="shared" si="1"/>
      </x:c>
      <x:c r="K170" s="39"/>
      <x:c r="L170" s="39"/>
      <x:c r="M170" s="39"/>
      <x:c r="N170" s="39"/>
      <x:c r="Q170" s="39"/>
      <x:c r="R170" s="39"/>
      <x:c r="S170" s="39"/>
      <x:c r="T170" s="39"/>
    </x:row>
    <x:row r="171">
      <x:c r="H171" s="7" t="str">
        <x:f t="shared" si="1"/>
      </x:c>
      <x:c r="K171" s="39"/>
      <x:c r="L171" s="39"/>
      <x:c r="M171" s="39"/>
      <x:c r="N171" s="39"/>
      <x:c r="Q171" s="39"/>
      <x:c r="R171" s="39"/>
      <x:c r="S171" s="39"/>
      <x:c r="T171" s="39"/>
    </x:row>
    <x:row r="172">
      <x:c r="H172" s="7" t="str">
        <x:f t="shared" si="1"/>
      </x:c>
      <x:c r="K172" s="39"/>
      <x:c r="L172" s="39"/>
      <x:c r="M172" s="39"/>
      <x:c r="N172" s="39"/>
      <x:c r="Q172" s="39"/>
      <x:c r="R172" s="39"/>
      <x:c r="S172" s="39"/>
      <x:c r="T172" s="39"/>
    </x:row>
    <x:row r="173">
      <x:c r="H173" s="7" t="str">
        <x:f t="shared" si="1"/>
      </x:c>
      <x:c r="K173" s="39"/>
      <x:c r="L173" s="39"/>
      <x:c r="M173" s="39"/>
      <x:c r="N173" s="39"/>
      <x:c r="Q173" s="39"/>
      <x:c r="R173" s="39"/>
      <x:c r="S173" s="39"/>
      <x:c r="T173" s="39"/>
    </x:row>
    <x:row r="174">
      <x:c r="H174" s="7" t="str">
        <x:f t="shared" si="1"/>
      </x:c>
      <x:c r="K174" s="39"/>
      <x:c r="L174" s="39"/>
      <x:c r="M174" s="39"/>
      <x:c r="N174" s="39"/>
      <x:c r="Q174" s="39"/>
      <x:c r="R174" s="39"/>
      <x:c r="S174" s="39"/>
      <x:c r="T174" s="39"/>
    </x:row>
    <x:row r="175">
      <x:c r="H175" s="7" t="str">
        <x:f t="shared" si="1"/>
      </x:c>
      <x:c r="K175" s="39"/>
      <x:c r="L175" s="39"/>
      <x:c r="M175" s="39"/>
      <x:c r="N175" s="39"/>
      <x:c r="Q175" s="39"/>
      <x:c r="R175" s="39"/>
      <x:c r="S175" s="39"/>
      <x:c r="T175" s="39"/>
    </x:row>
    <x:row r="176">
      <x:c r="H176" s="7" t="str">
        <x:f t="shared" si="1"/>
      </x:c>
      <x:c r="K176" s="39"/>
      <x:c r="L176" s="39"/>
      <x:c r="M176" s="39"/>
      <x:c r="N176" s="39"/>
      <x:c r="Q176" s="39"/>
      <x:c r="R176" s="39"/>
      <x:c r="S176" s="39"/>
      <x:c r="T176" s="39"/>
    </x:row>
    <x:row r="177">
      <x:c r="H177" s="7" t="str">
        <x:f t="shared" si="1"/>
      </x:c>
      <x:c r="K177" s="39"/>
      <x:c r="L177" s="39"/>
      <x:c r="M177" s="39"/>
      <x:c r="N177" s="39"/>
      <x:c r="Q177" s="39"/>
      <x:c r="R177" s="39"/>
      <x:c r="S177" s="39"/>
      <x:c r="T177" s="39"/>
    </x:row>
    <x:row r="178">
      <x:c r="H178" s="7" t="str">
        <x:f t="shared" si="1"/>
      </x:c>
      <x:c r="K178" s="39"/>
      <x:c r="L178" s="39"/>
      <x:c r="M178" s="39"/>
      <x:c r="N178" s="39"/>
      <x:c r="Q178" s="39"/>
      <x:c r="R178" s="39"/>
      <x:c r="S178" s="39"/>
      <x:c r="T178" s="39"/>
    </x:row>
    <x:row r="179">
      <x:c r="H179" s="7" t="str">
        <x:f t="shared" si="1"/>
      </x:c>
      <x:c r="K179" s="39"/>
      <x:c r="L179" s="39"/>
      <x:c r="M179" s="39"/>
      <x:c r="N179" s="39"/>
      <x:c r="Q179" s="39"/>
      <x:c r="R179" s="39"/>
      <x:c r="S179" s="39"/>
      <x:c r="T179" s="39"/>
    </x:row>
    <x:row r="180">
      <x:c r="H180" s="7" t="str">
        <x:f t="shared" si="1"/>
      </x:c>
      <x:c r="K180" s="39"/>
      <x:c r="L180" s="39"/>
      <x:c r="M180" s="39"/>
      <x:c r="N180" s="39"/>
      <x:c r="Q180" s="39"/>
      <x:c r="R180" s="39"/>
      <x:c r="S180" s="39"/>
      <x:c r="T180" s="39"/>
    </x:row>
    <x:row r="181">
      <x:c r="H181" s="7" t="str">
        <x:f t="shared" si="1"/>
      </x:c>
      <x:c r="K181" s="39"/>
      <x:c r="L181" s="39"/>
      <x:c r="M181" s="39"/>
      <x:c r="N181" s="39"/>
      <x:c r="Q181" s="39"/>
      <x:c r="R181" s="39"/>
      <x:c r="S181" s="39"/>
      <x:c r="T181" s="39"/>
    </x:row>
    <x:row r="182">
      <x:c r="H182" s="7" t="str">
        <x:f t="shared" si="1"/>
      </x:c>
      <x:c r="K182" s="39"/>
      <x:c r="L182" s="39"/>
      <x:c r="M182" s="39"/>
      <x:c r="N182" s="39"/>
      <x:c r="Q182" s="39"/>
      <x:c r="R182" s="39"/>
      <x:c r="S182" s="39"/>
      <x:c r="T182" s="39"/>
    </x:row>
    <x:row r="183">
      <x:c r="H183" s="7" t="str">
        <x:f t="shared" si="1"/>
      </x:c>
      <x:c r="K183" s="39"/>
      <x:c r="L183" s="39"/>
      <x:c r="M183" s="39"/>
      <x:c r="N183" s="39"/>
      <x:c r="Q183" s="39"/>
      <x:c r="R183" s="39"/>
      <x:c r="S183" s="39"/>
      <x:c r="T183" s="39"/>
    </x:row>
    <x:row r="184">
      <x:c r="H184" s="7" t="str">
        <x:f t="shared" si="1"/>
      </x:c>
      <x:c r="K184" s="39"/>
      <x:c r="L184" s="39"/>
      <x:c r="M184" s="39"/>
      <x:c r="N184" s="39"/>
      <x:c r="Q184" s="39"/>
      <x:c r="R184" s="39"/>
      <x:c r="S184" s="39"/>
      <x:c r="T184" s="39"/>
    </x:row>
    <x:row r="185">
      <x:c r="H185" s="7" t="str">
        <x:f t="shared" si="1"/>
      </x:c>
      <x:c r="K185" s="39"/>
      <x:c r="L185" s="39"/>
      <x:c r="M185" s="39"/>
      <x:c r="N185" s="39"/>
      <x:c r="Q185" s="39"/>
      <x:c r="R185" s="39"/>
      <x:c r="S185" s="39"/>
      <x:c r="T185" s="39"/>
    </x:row>
    <x:row r="186">
      <x:c r="H186" s="7" t="str">
        <x:f t="shared" si="1"/>
      </x:c>
      <x:c r="K186" s="39"/>
      <x:c r="L186" s="39"/>
      <x:c r="M186" s="39"/>
      <x:c r="N186" s="39"/>
      <x:c r="Q186" s="39"/>
      <x:c r="R186" s="39"/>
      <x:c r="S186" s="39"/>
      <x:c r="T186" s="39"/>
    </x:row>
    <x:row r="187">
      <x:c r="H187" s="7" t="str">
        <x:f t="shared" si="1"/>
      </x:c>
      <x:c r="K187" s="39"/>
      <x:c r="L187" s="39"/>
      <x:c r="M187" s="39"/>
      <x:c r="N187" s="39"/>
      <x:c r="Q187" s="39"/>
      <x:c r="R187" s="39"/>
      <x:c r="S187" s="39"/>
      <x:c r="T187" s="39"/>
    </x:row>
    <x:row r="188">
      <x:c r="H188" s="7" t="str">
        <x:f t="shared" si="1"/>
      </x:c>
      <x:c r="K188" s="39"/>
      <x:c r="L188" s="39"/>
      <x:c r="M188" s="39"/>
      <x:c r="N188" s="39"/>
      <x:c r="Q188" s="39"/>
      <x:c r="R188" s="39"/>
      <x:c r="S188" s="39"/>
      <x:c r="T188" s="39"/>
    </x:row>
    <x:row r="189">
      <x:c r="H189" s="7" t="str">
        <x:f t="shared" si="1"/>
      </x:c>
      <x:c r="K189" s="39"/>
      <x:c r="L189" s="39"/>
      <x:c r="M189" s="39"/>
      <x:c r="N189" s="39"/>
      <x:c r="Q189" s="39"/>
      <x:c r="R189" s="39"/>
      <x:c r="S189" s="39"/>
      <x:c r="T189" s="39"/>
    </x:row>
    <x:row r="190">
      <x:c r="H190" s="7" t="str">
        <x:f t="shared" si="1"/>
      </x:c>
      <x:c r="K190" s="39"/>
      <x:c r="L190" s="39"/>
      <x:c r="M190" s="39"/>
      <x:c r="N190" s="39"/>
      <x:c r="Q190" s="39"/>
      <x:c r="R190" s="39"/>
      <x:c r="S190" s="39"/>
      <x:c r="T190" s="39"/>
    </x:row>
    <x:row r="191">
      <x:c r="H191" s="7" t="str">
        <x:f t="shared" si="1"/>
      </x:c>
      <x:c r="K191" s="39"/>
      <x:c r="L191" s="39"/>
      <x:c r="M191" s="39"/>
      <x:c r="N191" s="39"/>
      <x:c r="Q191" s="39"/>
      <x:c r="R191" s="39"/>
      <x:c r="S191" s="39"/>
      <x:c r="T191" s="39"/>
    </x:row>
    <x:row r="192">
      <x:c r="H192" s="7" t="str">
        <x:f t="shared" si="1"/>
      </x:c>
      <x:c r="K192" s="39"/>
      <x:c r="L192" s="39"/>
      <x:c r="M192" s="39"/>
      <x:c r="N192" s="39"/>
      <x:c r="Q192" s="39"/>
      <x:c r="R192" s="39"/>
      <x:c r="S192" s="39"/>
      <x:c r="T192" s="39"/>
    </x:row>
    <x:row r="193">
      <x:c r="H193" s="7" t="str">
        <x:f t="shared" si="1"/>
      </x:c>
      <x:c r="K193" s="39"/>
      <x:c r="L193" s="39"/>
      <x:c r="M193" s="39"/>
      <x:c r="N193" s="39"/>
      <x:c r="Q193" s="39"/>
      <x:c r="R193" s="39"/>
      <x:c r="S193" s="39"/>
      <x:c r="T193" s="39"/>
    </x:row>
    <x:row r="194">
      <x:c r="H194" s="7" t="str">
        <x:f t="shared" si="1"/>
      </x:c>
      <x:c r="K194" s="39"/>
      <x:c r="L194" s="39"/>
      <x:c r="M194" s="39"/>
      <x:c r="N194" s="39"/>
      <x:c r="Q194" s="39"/>
      <x:c r="R194" s="39"/>
      <x:c r="S194" s="39"/>
      <x:c r="T194" s="39"/>
    </x:row>
    <x:row r="195">
      <x:c r="H195" s="7" t="str">
        <x:f t="shared" si="1"/>
      </x:c>
      <x:c r="K195" s="39"/>
      <x:c r="L195" s="39"/>
      <x:c r="M195" s="39"/>
      <x:c r="N195" s="39"/>
      <x:c r="Q195" s="39"/>
      <x:c r="R195" s="39"/>
      <x:c r="S195" s="39"/>
      <x:c r="T195" s="39"/>
    </x:row>
    <x:row r="196">
      <x:c r="H196" s="7" t="str">
        <x:f t="shared" si="1"/>
      </x:c>
      <x:c r="K196" s="39"/>
      <x:c r="L196" s="39"/>
      <x:c r="M196" s="39"/>
      <x:c r="N196" s="39"/>
      <x:c r="Q196" s="39"/>
      <x:c r="R196" s="39"/>
      <x:c r="S196" s="39"/>
      <x:c r="T196" s="39"/>
    </x:row>
    <x:row r="197">
      <x:c r="H197" s="7" t="str">
        <x:f t="shared" si="1"/>
      </x:c>
      <x:c r="K197" s="39"/>
      <x:c r="L197" s="39"/>
      <x:c r="M197" s="39"/>
      <x:c r="N197" s="39"/>
      <x:c r="Q197" s="39"/>
      <x:c r="R197" s="39"/>
      <x:c r="S197" s="39"/>
      <x:c r="T197" s="39"/>
    </x:row>
    <x:row r="198">
      <x:c r="H198" s="7" t="str">
        <x:f t="shared" si="1"/>
      </x:c>
      <x:c r="K198" s="39"/>
      <x:c r="L198" s="39"/>
      <x:c r="M198" s="39"/>
      <x:c r="N198" s="39"/>
      <x:c r="Q198" s="39"/>
      <x:c r="R198" s="39"/>
      <x:c r="S198" s="39"/>
      <x:c r="T198" s="39"/>
    </x:row>
    <x:row r="199">
      <x:c r="H199" s="7" t="str">
        <x:f t="shared" si="1"/>
      </x:c>
      <x:c r="K199" s="39"/>
      <x:c r="L199" s="39"/>
      <x:c r="M199" s="39"/>
      <x:c r="N199" s="39"/>
      <x:c r="Q199" s="39"/>
      <x:c r="R199" s="39"/>
      <x:c r="S199" s="39"/>
      <x:c r="T199" s="39"/>
    </x:row>
    <x:row r="200">
      <x:c r="H200" s="7" t="str">
        <x:f t="shared" si="1"/>
      </x:c>
      <x:c r="K200" s="39"/>
      <x:c r="L200" s="39"/>
      <x:c r="M200" s="39"/>
      <x:c r="N200" s="39"/>
      <x:c r="Q200" s="39"/>
      <x:c r="R200" s="39"/>
      <x:c r="S200" s="39"/>
      <x:c r="T200" s="39"/>
    </x:row>
    <x:row r="201">
      <x:c r="H201" s="7" t="str">
        <x:f t="shared" si="1"/>
      </x:c>
      <x:c r="K201" s="39"/>
      <x:c r="L201" s="39"/>
      <x:c r="M201" s="39"/>
      <x:c r="N201" s="39"/>
      <x:c r="Q201" s="39"/>
      <x:c r="R201" s="39"/>
      <x:c r="S201" s="39"/>
      <x:c r="T201" s="39"/>
    </x:row>
    <x:row r="202">
      <x:c r="H202" s="7" t="str">
        <x:f t="shared" si="1"/>
      </x:c>
      <x:c r="K202" s="39"/>
      <x:c r="L202" s="39"/>
      <x:c r="M202" s="39"/>
      <x:c r="N202" s="39"/>
      <x:c r="Q202" s="39"/>
      <x:c r="R202" s="39"/>
      <x:c r="S202" s="39"/>
      <x:c r="T202" s="39"/>
    </x:row>
    <x:row r="203">
      <x:c r="H203" s="7" t="str">
        <x:f t="shared" si="1"/>
      </x:c>
      <x:c r="K203" s="39"/>
      <x:c r="L203" s="39"/>
      <x:c r="M203" s="39"/>
      <x:c r="N203" s="39"/>
      <x:c r="Q203" s="39"/>
      <x:c r="R203" s="39"/>
      <x:c r="S203" s="39"/>
      <x:c r="T203" s="39"/>
    </x:row>
    <x:row r="204">
      <x:c r="H204" s="7" t="str">
        <x:f t="shared" si="1"/>
      </x:c>
      <x:c r="K204" s="39"/>
      <x:c r="L204" s="39"/>
      <x:c r="M204" s="39"/>
      <x:c r="N204" s="39"/>
      <x:c r="Q204" s="39"/>
      <x:c r="R204" s="39"/>
      <x:c r="S204" s="39"/>
      <x:c r="T204" s="39"/>
    </x:row>
    <x:row r="205">
      <x:c r="H205" s="7" t="str">
        <x:f t="shared" si="1"/>
      </x:c>
      <x:c r="K205" s="39"/>
      <x:c r="L205" s="39"/>
      <x:c r="M205" s="39"/>
      <x:c r="N205" s="39"/>
      <x:c r="Q205" s="39"/>
      <x:c r="R205" s="39"/>
      <x:c r="S205" s="39"/>
      <x:c r="T205" s="39"/>
    </x:row>
    <x:row r="206">
      <x:c r="H206" s="7" t="str">
        <x:f t="shared" si="1"/>
      </x:c>
      <x:c r="K206" s="39"/>
      <x:c r="L206" s="39"/>
      <x:c r="M206" s="39"/>
      <x:c r="N206" s="39"/>
      <x:c r="Q206" s="39"/>
      <x:c r="R206" s="39"/>
      <x:c r="S206" s="39"/>
      <x:c r="T206" s="39"/>
    </x:row>
    <x:row r="207">
      <x:c r="H207" s="7" t="str">
        <x:f t="shared" si="1"/>
      </x:c>
      <x:c r="K207" s="39"/>
      <x:c r="L207" s="39"/>
      <x:c r="M207" s="39"/>
      <x:c r="N207" s="39"/>
      <x:c r="Q207" s="39"/>
      <x:c r="R207" s="39"/>
      <x:c r="S207" s="39"/>
      <x:c r="T207" s="39"/>
    </x:row>
    <x:row r="208">
      <x:c r="K208" s="39"/>
      <x:c r="L208" s="39"/>
      <x:c r="M208" s="39"/>
      <x:c r="N208" s="39"/>
      <x:c r="Q208" s="39"/>
      <x:c r="R208" s="39"/>
      <x:c r="S208" s="39"/>
      <x:c r="T208" s="39"/>
    </x:row>
    <x:row r="209">
      <x:c r="K209" s="39"/>
      <x:c r="L209" s="39"/>
      <x:c r="M209" s="39"/>
      <x:c r="N209" s="39"/>
      <x:c r="Q209" s="39"/>
      <x:c r="R209" s="39"/>
      <x:c r="S209" s="39"/>
      <x:c r="T209" s="39"/>
    </x:row>
    <x:row r="210">
      <x:c r="K210" s="39"/>
      <x:c r="L210" s="39"/>
      <x:c r="M210" s="39"/>
      <x:c r="N210" s="39"/>
      <x:c r="Q210" s="39"/>
      <x:c r="R210" s="39"/>
      <x:c r="S210" s="39"/>
      <x:c r="T210" s="39"/>
    </x:row>
    <x:row r="211">
      <x:c r="K211" s="39"/>
      <x:c r="L211" s="39"/>
      <x:c r="M211" s="39"/>
      <x:c r="N211" s="39"/>
      <x:c r="Q211" s="39"/>
      <x:c r="R211" s="39"/>
      <x:c r="S211" s="39"/>
      <x:c r="T211" s="39"/>
    </x:row>
    <x:row r="212">
      <x:c r="K212" s="39"/>
      <x:c r="L212" s="39"/>
      <x:c r="M212" s="39"/>
      <x:c r="N212" s="39"/>
      <x:c r="Q212" s="39"/>
      <x:c r="R212" s="39"/>
      <x:c r="S212" s="39"/>
      <x:c r="T212" s="39"/>
    </x:row>
    <x:row r="213">
      <x:c r="K213" s="39"/>
      <x:c r="L213" s="39"/>
      <x:c r="M213" s="39"/>
      <x:c r="N213" s="39"/>
      <x:c r="Q213" s="39"/>
      <x:c r="R213" s="39"/>
      <x:c r="S213" s="39"/>
      <x:c r="T213" s="39"/>
    </x:row>
    <x:row r="214">
      <x:c r="K214" s="39"/>
      <x:c r="L214" s="39"/>
      <x:c r="M214" s="39"/>
      <x:c r="N214" s="39"/>
      <x:c r="Q214" s="39"/>
      <x:c r="R214" s="39"/>
      <x:c r="S214" s="39"/>
      <x:c r="T214" s="39"/>
    </x:row>
    <x:row r="215">
      <x:c r="K215" s="39"/>
      <x:c r="L215" s="39"/>
      <x:c r="M215" s="39"/>
      <x:c r="N215" s="39"/>
      <x:c r="Q215" s="39"/>
      <x:c r="R215" s="39"/>
      <x:c r="S215" s="39"/>
      <x:c r="T215" s="39"/>
    </x:row>
    <x:row r="216">
      <x:c r="K216" s="39"/>
      <x:c r="L216" s="39"/>
      <x:c r="M216" s="39"/>
      <x:c r="N216" s="39"/>
      <x:c r="Q216" s="39"/>
      <x:c r="R216" s="39"/>
      <x:c r="S216" s="39"/>
      <x:c r="T216" s="39"/>
    </x:row>
    <x:row r="217">
      <x:c r="K217" s="39"/>
      <x:c r="L217" s="39"/>
      <x:c r="M217" s="39"/>
      <x:c r="N217" s="39"/>
      <x:c r="Q217" s="39"/>
      <x:c r="R217" s="39"/>
      <x:c r="S217" s="39"/>
      <x:c r="T217" s="39"/>
    </x:row>
    <x:row r="218">
      <x:c r="K218" s="39"/>
      <x:c r="L218" s="39"/>
      <x:c r="M218" s="39"/>
      <x:c r="N218" s="39"/>
      <x:c r="Q218" s="39"/>
      <x:c r="R218" s="39"/>
      <x:c r="S218" s="39"/>
      <x:c r="T218" s="39"/>
    </x:row>
    <x:row r="219">
      <x:c r="K219" s="39"/>
      <x:c r="L219" s="39"/>
      <x:c r="M219" s="39"/>
      <x:c r="N219" s="39"/>
      <x:c r="Q219" s="39"/>
      <x:c r="R219" s="39"/>
      <x:c r="S219" s="39"/>
      <x:c r="T219" s="39"/>
    </x:row>
    <x:row r="220">
      <x:c r="K220" s="39"/>
      <x:c r="L220" s="39"/>
      <x:c r="M220" s="39"/>
      <x:c r="N220" s="39"/>
      <x:c r="Q220" s="39"/>
      <x:c r="R220" s="39"/>
      <x:c r="S220" s="39"/>
      <x:c r="T220" s="39"/>
    </x:row>
    <x:row r="221">
      <x:c r="K221" s="39"/>
      <x:c r="L221" s="39"/>
      <x:c r="M221" s="39"/>
      <x:c r="N221" s="39"/>
      <x:c r="Q221" s="39"/>
      <x:c r="R221" s="39"/>
      <x:c r="S221" s="39"/>
      <x:c r="T221" s="39"/>
    </x:row>
    <x:row r="222">
      <x:c r="K222" s="39"/>
      <x:c r="L222" s="39"/>
      <x:c r="M222" s="39"/>
      <x:c r="N222" s="39"/>
      <x:c r="Q222" s="39"/>
      <x:c r="R222" s="39"/>
      <x:c r="S222" s="39"/>
      <x:c r="T222" s="39"/>
    </x:row>
    <x:row r="223">
      <x:c r="K223" s="39"/>
      <x:c r="L223" s="39"/>
      <x:c r="M223" s="39"/>
      <x:c r="N223" s="39"/>
      <x:c r="Q223" s="39"/>
      <x:c r="R223" s="39"/>
      <x:c r="S223" s="39"/>
      <x:c r="T223" s="39"/>
    </x:row>
    <x:row r="224">
      <x:c r="K224" s="39"/>
      <x:c r="L224" s="39"/>
      <x:c r="M224" s="39"/>
      <x:c r="N224" s="39"/>
      <x:c r="Q224" s="39"/>
      <x:c r="R224" s="39"/>
      <x:c r="S224" s="39"/>
      <x:c r="T224" s="39"/>
    </x:row>
    <x:row r="225">
      <x:c r="K225" s="39"/>
      <x:c r="L225" s="39"/>
      <x:c r="M225" s="39"/>
      <x:c r="N225" s="39"/>
      <x:c r="Q225" s="39"/>
      <x:c r="R225" s="39"/>
      <x:c r="S225" s="39"/>
      <x:c r="T225" s="39"/>
    </x:row>
    <x:row r="226">
      <x:c r="K226" s="39"/>
      <x:c r="L226" s="39"/>
      <x:c r="M226" s="39"/>
      <x:c r="N226" s="39"/>
      <x:c r="Q226" s="39"/>
      <x:c r="R226" s="39"/>
      <x:c r="S226" s="39"/>
      <x:c r="T226" s="39"/>
    </x:row>
    <x:row r="227">
      <x:c r="K227" s="39"/>
      <x:c r="L227" s="39"/>
      <x:c r="M227" s="39"/>
      <x:c r="N227" s="39"/>
      <x:c r="Q227" s="39"/>
      <x:c r="R227" s="39"/>
      <x:c r="S227" s="39"/>
      <x:c r="T227" s="39"/>
    </x:row>
    <x:row r="228">
      <x:c r="K228" s="39"/>
      <x:c r="L228" s="39"/>
      <x:c r="M228" s="39"/>
      <x:c r="N228" s="39"/>
      <x:c r="Q228" s="39"/>
      <x:c r="R228" s="39"/>
      <x:c r="S228" s="39"/>
      <x:c r="T228" s="39"/>
    </x:row>
    <x:row r="229">
      <x:c r="K229" s="39"/>
      <x:c r="L229" s="39"/>
      <x:c r="M229" s="39"/>
      <x:c r="N229" s="39"/>
      <x:c r="Q229" s="39"/>
      <x:c r="R229" s="39"/>
      <x:c r="S229" s="39"/>
      <x:c r="T229" s="39"/>
    </x:row>
    <x:row r="230">
      <x:c r="K230" s="39"/>
      <x:c r="L230" s="39"/>
      <x:c r="M230" s="39"/>
      <x:c r="N230" s="39"/>
      <x:c r="Q230" s="39"/>
      <x:c r="R230" s="39"/>
      <x:c r="S230" s="39"/>
      <x:c r="T230" s="39"/>
    </x:row>
    <x:row r="231">
      <x:c r="K231" s="39"/>
      <x:c r="L231" s="39"/>
      <x:c r="M231" s="39"/>
      <x:c r="N231" s="39"/>
      <x:c r="Q231" s="39"/>
      <x:c r="R231" s="39"/>
      <x:c r="S231" s="39"/>
      <x:c r="T231" s="39"/>
    </x:row>
    <x:row r="232">
      <x:c r="K232" s="39"/>
      <x:c r="L232" s="39"/>
      <x:c r="M232" s="39"/>
      <x:c r="N232" s="39"/>
      <x:c r="Q232" s="39"/>
      <x:c r="R232" s="39"/>
      <x:c r="S232" s="39"/>
      <x:c r="T232" s="39"/>
    </x:row>
    <x:row r="233">
      <x:c r="K233" s="39"/>
      <x:c r="L233" s="39"/>
      <x:c r="M233" s="39"/>
      <x:c r="N233" s="39"/>
      <x:c r="Q233" s="39"/>
      <x:c r="R233" s="39"/>
      <x:c r="S233" s="39"/>
      <x:c r="T233" s="39"/>
    </x:row>
    <x:row r="234">
      <x:c r="K234" s="39"/>
      <x:c r="L234" s="39"/>
      <x:c r="M234" s="39"/>
      <x:c r="N234" s="39"/>
      <x:c r="Q234" s="39"/>
      <x:c r="R234" s="39"/>
      <x:c r="S234" s="39"/>
      <x:c r="T234" s="39"/>
    </x:row>
    <x:row r="235">
      <x:c r="K235" s="39"/>
      <x:c r="L235" s="39"/>
      <x:c r="M235" s="39"/>
      <x:c r="N235" s="39"/>
      <x:c r="Q235" s="39"/>
      <x:c r="R235" s="39"/>
      <x:c r="S235" s="39"/>
      <x:c r="T235" s="39"/>
    </x:row>
    <x:row r="236">
      <x:c r="K236" s="39"/>
      <x:c r="L236" s="39"/>
      <x:c r="M236" s="39"/>
      <x:c r="N236" s="39"/>
      <x:c r="Q236" s="39"/>
      <x:c r="R236" s="39"/>
      <x:c r="S236" s="39"/>
      <x:c r="T236" s="39"/>
    </x:row>
    <x:row r="237">
      <x:c r="K237" s="39"/>
      <x:c r="L237" s="39"/>
      <x:c r="M237" s="39"/>
      <x:c r="N237" s="39"/>
      <x:c r="Q237" s="39"/>
      <x:c r="R237" s="39"/>
      <x:c r="S237" s="39"/>
      <x:c r="T237" s="39"/>
    </x:row>
    <x:row r="238">
      <x:c r="K238" s="39"/>
      <x:c r="L238" s="39"/>
      <x:c r="M238" s="39"/>
      <x:c r="N238" s="39"/>
      <x:c r="Q238" s="39"/>
      <x:c r="R238" s="39"/>
      <x:c r="S238" s="39"/>
      <x:c r="T238" s="39"/>
    </x:row>
    <x:row r="239">
      <x:c r="K239" s="39"/>
      <x:c r="L239" s="39"/>
      <x:c r="M239" s="39"/>
      <x:c r="N239" s="39"/>
      <x:c r="Q239" s="39"/>
      <x:c r="R239" s="39"/>
      <x:c r="S239" s="39"/>
      <x:c r="T239" s="39"/>
    </x:row>
    <x:row r="240">
      <x:c r="K240" s="39"/>
      <x:c r="L240" s="39"/>
      <x:c r="M240" s="39"/>
      <x:c r="N240" s="39"/>
      <x:c r="Q240" s="39"/>
      <x:c r="R240" s="39"/>
      <x:c r="S240" s="39"/>
      <x:c r="T240" s="39"/>
    </x:row>
    <x:row r="241">
      <x:c r="K241" s="39"/>
      <x:c r="L241" s="39"/>
      <x:c r="M241" s="39"/>
      <x:c r="N241" s="39"/>
      <x:c r="Q241" s="39"/>
      <x:c r="R241" s="39"/>
      <x:c r="S241" s="39"/>
      <x:c r="T241" s="39"/>
    </x:row>
    <x:row r="242">
      <x:c r="K242" s="39"/>
      <x:c r="L242" s="39"/>
      <x:c r="M242" s="39"/>
      <x:c r="N242" s="39"/>
      <x:c r="Q242" s="39"/>
      <x:c r="R242" s="39"/>
      <x:c r="S242" s="39"/>
      <x:c r="T242" s="39"/>
    </x:row>
    <x:row r="243">
      <x:c r="K243" s="39"/>
      <x:c r="L243" s="39"/>
      <x:c r="M243" s="39"/>
      <x:c r="N243" s="39"/>
      <x:c r="Q243" s="39"/>
      <x:c r="R243" s="39"/>
      <x:c r="S243" s="39"/>
      <x:c r="T243" s="39"/>
    </x:row>
    <x:row r="244">
      <x:c r="K244" s="39"/>
      <x:c r="L244" s="39"/>
      <x:c r="M244" s="39"/>
      <x:c r="N244" s="39"/>
      <x:c r="Q244" s="39"/>
      <x:c r="R244" s="39"/>
      <x:c r="S244" s="39"/>
      <x:c r="T244" s="39"/>
    </x:row>
    <x:row r="245">
      <x:c r="K245" s="39"/>
      <x:c r="L245" s="39"/>
      <x:c r="M245" s="39"/>
      <x:c r="N245" s="39"/>
      <x:c r="Q245" s="39"/>
      <x:c r="R245" s="39"/>
      <x:c r="S245" s="39"/>
      <x:c r="T245" s="39"/>
    </x:row>
    <x:row r="246">
      <x:c r="K246" s="39"/>
      <x:c r="L246" s="39"/>
      <x:c r="M246" s="39"/>
      <x:c r="N246" s="39"/>
      <x:c r="Q246" s="39"/>
      <x:c r="R246" s="39"/>
      <x:c r="S246" s="39"/>
      <x:c r="T246" s="39"/>
    </x:row>
    <x:row r="247">
      <x:c r="K247" s="39"/>
      <x:c r="L247" s="39"/>
      <x:c r="M247" s="39"/>
      <x:c r="N247" s="39"/>
      <x:c r="Q247" s="39"/>
      <x:c r="R247" s="39"/>
      <x:c r="S247" s="39"/>
      <x:c r="T247" s="39"/>
    </x:row>
    <x:row r="248">
      <x:c r="K248" s="39"/>
      <x:c r="L248" s="39"/>
      <x:c r="M248" s="39"/>
      <x:c r="N248" s="39"/>
      <x:c r="Q248" s="39"/>
      <x:c r="R248" s="39"/>
      <x:c r="S248" s="39"/>
      <x:c r="T248" s="39"/>
    </x:row>
    <x:row r="249">
      <x:c r="K249" s="39"/>
      <x:c r="L249" s="39"/>
      <x:c r="M249" s="39"/>
      <x:c r="N249" s="39"/>
      <x:c r="Q249" s="39"/>
      <x:c r="R249" s="39"/>
      <x:c r="S249" s="39"/>
      <x:c r="T249" s="39"/>
    </x:row>
    <x:row r="250">
      <x:c r="K250" s="39"/>
      <x:c r="L250" s="39"/>
      <x:c r="M250" s="39"/>
      <x:c r="N250" s="39"/>
      <x:c r="Q250" s="39"/>
      <x:c r="R250" s="39"/>
      <x:c r="S250" s="39"/>
      <x:c r="T250" s="39"/>
    </x:row>
    <x:row r="251">
      <x:c r="K251" s="39"/>
      <x:c r="L251" s="39"/>
      <x:c r="M251" s="39"/>
      <x:c r="N251" s="39"/>
      <x:c r="Q251" s="39"/>
      <x:c r="R251" s="39"/>
      <x:c r="S251" s="39"/>
      <x:c r="T251" s="39"/>
    </x:row>
    <x:row r="252">
      <x:c r="K252" s="39"/>
      <x:c r="L252" s="39"/>
      <x:c r="M252" s="39"/>
      <x:c r="N252" s="39"/>
      <x:c r="Q252" s="39"/>
      <x:c r="R252" s="39"/>
      <x:c r="S252" s="39"/>
      <x:c r="T252" s="39"/>
    </x:row>
    <x:row r="253">
      <x:c r="K253" s="39"/>
      <x:c r="L253" s="39"/>
      <x:c r="M253" s="39"/>
      <x:c r="N253" s="39"/>
      <x:c r="Q253" s="39"/>
      <x:c r="R253" s="39"/>
      <x:c r="S253" s="39"/>
      <x:c r="T253" s="39"/>
    </x:row>
    <x:row r="254">
      <x:c r="K254" s="39"/>
      <x:c r="L254" s="39"/>
      <x:c r="M254" s="39"/>
      <x:c r="N254" s="39"/>
      <x:c r="Q254" s="39"/>
      <x:c r="R254" s="39"/>
      <x:c r="S254" s="39"/>
      <x:c r="T254" s="39"/>
    </x:row>
    <x:row r="255">
      <x:c r="K255" s="39"/>
      <x:c r="L255" s="39"/>
      <x:c r="M255" s="39"/>
      <x:c r="N255" s="39"/>
      <x:c r="Q255" s="39"/>
      <x:c r="R255" s="39"/>
      <x:c r="S255" s="39"/>
      <x:c r="T255" s="39"/>
    </x:row>
    <x:row r="256">
      <x:c r="K256" s="39"/>
      <x:c r="L256" s="39"/>
      <x:c r="M256" s="39"/>
      <x:c r="N256" s="39"/>
      <x:c r="Q256" s="39"/>
      <x:c r="R256" s="39"/>
      <x:c r="S256" s="39"/>
      <x:c r="T256" s="39"/>
    </x:row>
    <x:row r="257">
      <x:c r="K257" s="39"/>
      <x:c r="L257" s="39"/>
      <x:c r="M257" s="39"/>
      <x:c r="N257" s="39"/>
      <x:c r="Q257" s="39"/>
      <x:c r="R257" s="39"/>
      <x:c r="S257" s="39"/>
      <x:c r="T257" s="39"/>
    </x:row>
    <x:row r="258">
      <x:c r="K258" s="39"/>
      <x:c r="L258" s="39"/>
      <x:c r="M258" s="39"/>
      <x:c r="N258" s="39"/>
      <x:c r="Q258" s="39"/>
      <x:c r="R258" s="39"/>
      <x:c r="S258" s="39"/>
      <x:c r="T258" s="39"/>
    </x:row>
    <x:row r="259">
      <x:c r="K259" s="39"/>
      <x:c r="L259" s="39"/>
      <x:c r="M259" s="39"/>
      <x:c r="N259" s="39"/>
      <x:c r="Q259" s="39"/>
      <x:c r="R259" s="39"/>
      <x:c r="S259" s="39"/>
      <x:c r="T259" s="39"/>
    </x:row>
    <x:row r="260">
      <x:c r="K260" s="39"/>
      <x:c r="L260" s="39"/>
      <x:c r="M260" s="39"/>
      <x:c r="N260" s="39"/>
      <x:c r="Q260" s="39"/>
      <x:c r="R260" s="39"/>
      <x:c r="S260" s="39"/>
      <x:c r="T260" s="39"/>
    </x:row>
    <x:row r="261">
      <x:c r="K261" s="39"/>
      <x:c r="L261" s="39"/>
      <x:c r="M261" s="39"/>
      <x:c r="N261" s="39"/>
      <x:c r="Q261" s="39"/>
      <x:c r="R261" s="39"/>
      <x:c r="S261" s="39"/>
      <x:c r="T261" s="39"/>
    </x:row>
    <x:row r="262">
      <x:c r="K262" s="39"/>
      <x:c r="L262" s="39"/>
      <x:c r="M262" s="39"/>
      <x:c r="N262" s="39"/>
      <x:c r="Q262" s="39"/>
      <x:c r="R262" s="39"/>
      <x:c r="S262" s="39"/>
      <x:c r="T262" s="39"/>
    </x:row>
    <x:row r="263">
      <x:c r="K263" s="39"/>
      <x:c r="L263" s="39"/>
      <x:c r="M263" s="39"/>
      <x:c r="N263" s="39"/>
      <x:c r="Q263" s="39"/>
      <x:c r="R263" s="39"/>
      <x:c r="S263" s="39"/>
      <x:c r="T263" s="39"/>
    </x:row>
    <x:row r="264">
      <x:c r="K264" s="39"/>
      <x:c r="L264" s="39"/>
      <x:c r="M264" s="39"/>
      <x:c r="N264" s="39"/>
      <x:c r="Q264" s="39"/>
      <x:c r="R264" s="39"/>
      <x:c r="S264" s="39"/>
      <x:c r="T264" s="39"/>
    </x:row>
    <x:row r="265">
      <x:c r="K265" s="39"/>
      <x:c r="L265" s="39"/>
      <x:c r="M265" s="39"/>
      <x:c r="N265" s="39"/>
      <x:c r="Q265" s="39"/>
      <x:c r="R265" s="39"/>
      <x:c r="S265" s="39"/>
      <x:c r="T265" s="39"/>
    </x:row>
    <x:row r="266">
      <x:c r="K266" s="39"/>
      <x:c r="L266" s="39"/>
      <x:c r="M266" s="39"/>
      <x:c r="N266" s="39"/>
      <x:c r="Q266" s="39"/>
      <x:c r="R266" s="39"/>
      <x:c r="S266" s="39"/>
      <x:c r="T266" s="39"/>
    </x:row>
    <x:row r="267">
      <x:c r="K267" s="39"/>
      <x:c r="L267" s="39"/>
      <x:c r="M267" s="39"/>
      <x:c r="N267" s="39"/>
      <x:c r="Q267" s="39"/>
      <x:c r="R267" s="39"/>
      <x:c r="S267" s="39"/>
      <x:c r="T267" s="39"/>
    </x:row>
    <x:row r="268">
      <x:c r="K268" s="39"/>
      <x:c r="L268" s="39"/>
      <x:c r="M268" s="39"/>
      <x:c r="N268" s="39"/>
      <x:c r="Q268" s="39"/>
      <x:c r="R268" s="39"/>
      <x:c r="S268" s="39"/>
      <x:c r="T268" s="39"/>
    </x:row>
    <x:row r="269">
      <x:c r="K269" s="39"/>
      <x:c r="L269" s="39"/>
      <x:c r="M269" s="39"/>
      <x:c r="N269" s="39"/>
      <x:c r="Q269" s="39"/>
      <x:c r="R269" s="39"/>
      <x:c r="S269" s="39"/>
      <x:c r="T269" s="39"/>
    </x:row>
    <x:row r="270">
      <x:c r="K270" s="39"/>
      <x:c r="L270" s="39"/>
      <x:c r="M270" s="39"/>
      <x:c r="N270" s="39"/>
      <x:c r="Q270" s="39"/>
      <x:c r="R270" s="39"/>
      <x:c r="S270" s="39"/>
      <x:c r="T270" s="39"/>
    </x:row>
    <x:row r="271">
      <x:c r="K271" s="39"/>
      <x:c r="L271" s="39"/>
      <x:c r="M271" s="39"/>
      <x:c r="N271" s="39"/>
      <x:c r="Q271" s="39"/>
      <x:c r="R271" s="39"/>
      <x:c r="S271" s="39"/>
      <x:c r="T271" s="39"/>
    </x:row>
    <x:row r="272">
      <x:c r="K272" s="39"/>
      <x:c r="L272" s="39"/>
      <x:c r="M272" s="39"/>
      <x:c r="N272" s="39"/>
      <x:c r="Q272" s="39"/>
      <x:c r="R272" s="39"/>
      <x:c r="S272" s="39"/>
      <x:c r="T272" s="39"/>
    </x:row>
    <x:row r="273">
      <x:c r="K273" s="39"/>
      <x:c r="L273" s="39"/>
      <x:c r="M273" s="39"/>
      <x:c r="N273" s="39"/>
      <x:c r="Q273" s="39"/>
      <x:c r="R273" s="39"/>
      <x:c r="S273" s="39"/>
      <x:c r="T273" s="39"/>
    </x:row>
    <x:row r="274">
      <x:c r="K274" s="39"/>
      <x:c r="L274" s="39"/>
      <x:c r="M274" s="39"/>
      <x:c r="N274" s="39"/>
      <x:c r="Q274" s="39"/>
      <x:c r="R274" s="39"/>
      <x:c r="S274" s="39"/>
      <x:c r="T274" s="39"/>
    </x:row>
    <x:row r="275">
      <x:c r="K275" s="39"/>
      <x:c r="L275" s="39"/>
      <x:c r="M275" s="39"/>
      <x:c r="N275" s="39"/>
      <x:c r="Q275" s="39"/>
      <x:c r="R275" s="39"/>
      <x:c r="S275" s="39"/>
      <x:c r="T275" s="39"/>
    </x:row>
    <x:row r="276">
      <x:c r="K276" s="39"/>
      <x:c r="L276" s="39"/>
      <x:c r="M276" s="39"/>
      <x:c r="N276" s="39"/>
      <x:c r="Q276" s="39"/>
      <x:c r="R276" s="39"/>
      <x:c r="S276" s="39"/>
      <x:c r="T276" s="39"/>
    </x:row>
    <x:row r="277">
      <x:c r="K277" s="39"/>
      <x:c r="L277" s="39"/>
      <x:c r="M277" s="39"/>
      <x:c r="N277" s="39"/>
      <x:c r="Q277" s="39"/>
      <x:c r="R277" s="39"/>
      <x:c r="S277" s="39"/>
      <x:c r="T277" s="39"/>
    </x:row>
    <x:row r="278">
      <x:c r="K278" s="39"/>
      <x:c r="L278" s="39"/>
      <x:c r="M278" s="39"/>
      <x:c r="N278" s="39"/>
      <x:c r="Q278" s="39"/>
      <x:c r="R278" s="39"/>
      <x:c r="S278" s="39"/>
      <x:c r="T278" s="39"/>
    </x:row>
    <x:row r="279">
      <x:c r="K279" s="39"/>
      <x:c r="L279" s="39"/>
      <x:c r="M279" s="39"/>
      <x:c r="N279" s="39"/>
      <x:c r="Q279" s="39"/>
      <x:c r="R279" s="39"/>
      <x:c r="S279" s="39"/>
      <x:c r="T279" s="39"/>
    </x:row>
    <x:row r="280">
      <x:c r="K280" s="39"/>
      <x:c r="L280" s="39"/>
      <x:c r="M280" s="39"/>
      <x:c r="N280" s="39"/>
      <x:c r="Q280" s="39"/>
      <x:c r="R280" s="39"/>
      <x:c r="S280" s="39"/>
      <x:c r="T280" s="39"/>
    </x:row>
    <x:row r="281">
      <x:c r="K281" s="39"/>
      <x:c r="L281" s="39"/>
      <x:c r="M281" s="39"/>
      <x:c r="N281" s="39"/>
      <x:c r="Q281" s="39"/>
      <x:c r="R281" s="39"/>
      <x:c r="S281" s="39"/>
      <x:c r="T281" s="39"/>
    </x:row>
    <x:row r="282">
      <x:c r="K282" s="39"/>
      <x:c r="L282" s="39"/>
      <x:c r="M282" s="39"/>
      <x:c r="N282" s="39"/>
      <x:c r="Q282" s="39"/>
      <x:c r="R282" s="39"/>
      <x:c r="S282" s="39"/>
      <x:c r="T282" s="39"/>
    </x:row>
    <x:row r="283">
      <x:c r="K283" s="39"/>
      <x:c r="L283" s="39"/>
      <x:c r="M283" s="39"/>
      <x:c r="N283" s="39"/>
      <x:c r="Q283" s="39"/>
      <x:c r="R283" s="39"/>
      <x:c r="S283" s="39"/>
      <x:c r="T283" s="39"/>
    </x:row>
    <x:row r="284">
      <x:c r="K284" s="39"/>
      <x:c r="L284" s="39"/>
      <x:c r="M284" s="39"/>
      <x:c r="N284" s="39"/>
      <x:c r="Q284" s="39"/>
      <x:c r="R284" s="39"/>
      <x:c r="S284" s="39"/>
      <x:c r="T284" s="39"/>
    </x:row>
    <x:row r="285">
      <x:c r="K285" s="39"/>
      <x:c r="L285" s="39"/>
      <x:c r="M285" s="39"/>
      <x:c r="N285" s="39"/>
      <x:c r="Q285" s="39"/>
      <x:c r="R285" s="39"/>
      <x:c r="S285" s="39"/>
      <x:c r="T285" s="39"/>
    </x:row>
    <x:row r="286">
      <x:c r="K286" s="39"/>
      <x:c r="L286" s="39"/>
      <x:c r="M286" s="39"/>
      <x:c r="N286" s="39"/>
      <x:c r="Q286" s="39"/>
      <x:c r="R286" s="39"/>
      <x:c r="S286" s="39"/>
      <x:c r="T286" s="39"/>
    </x:row>
    <x:row r="287">
      <x:c r="K287" s="39"/>
      <x:c r="L287" s="39"/>
      <x:c r="M287" s="39"/>
      <x:c r="N287" s="39"/>
      <x:c r="Q287" s="39"/>
      <x:c r="R287" s="39"/>
      <x:c r="S287" s="39"/>
      <x:c r="T287" s="39"/>
    </x:row>
    <x:row r="288">
      <x:c r="K288" s="39"/>
      <x:c r="L288" s="39"/>
      <x:c r="M288" s="39"/>
      <x:c r="N288" s="39"/>
      <x:c r="Q288" s="39"/>
      <x:c r="R288" s="39"/>
      <x:c r="S288" s="39"/>
      <x:c r="T288" s="39"/>
    </x:row>
    <x:row r="289">
      <x:c r="K289" s="39"/>
      <x:c r="L289" s="39"/>
      <x:c r="M289" s="39"/>
      <x:c r="N289" s="39"/>
      <x:c r="Q289" s="39"/>
      <x:c r="R289" s="39"/>
      <x:c r="S289" s="39"/>
      <x:c r="T289" s="39"/>
    </x:row>
    <x:row r="290">
      <x:c r="K290" s="39"/>
      <x:c r="L290" s="39"/>
      <x:c r="M290" s="39"/>
      <x:c r="N290" s="39"/>
      <x:c r="Q290" s="39"/>
      <x:c r="R290" s="39"/>
      <x:c r="S290" s="39"/>
      <x:c r="T290" s="39"/>
    </x:row>
    <x:row r="291">
      <x:c r="K291" s="39"/>
      <x:c r="L291" s="39"/>
      <x:c r="M291" s="39"/>
      <x:c r="N291" s="39"/>
      <x:c r="Q291" s="39"/>
      <x:c r="R291" s="39"/>
      <x:c r="S291" s="39"/>
      <x:c r="T291" s="39"/>
    </x:row>
    <x:row r="292">
      <x:c r="K292" s="39"/>
      <x:c r="L292" s="39"/>
      <x:c r="M292" s="39"/>
      <x:c r="N292" s="39"/>
      <x:c r="Q292" s="39"/>
      <x:c r="R292" s="39"/>
      <x:c r="S292" s="39"/>
      <x:c r="T292" s="39"/>
    </x:row>
    <x:row r="293">
      <x:c r="K293" s="39"/>
      <x:c r="L293" s="39"/>
      <x:c r="M293" s="39"/>
      <x:c r="N293" s="39"/>
      <x:c r="Q293" s="39"/>
      <x:c r="R293" s="39"/>
      <x:c r="S293" s="39"/>
      <x:c r="T293" s="39"/>
    </x:row>
    <x:row r="294">
      <x:c r="K294" s="39"/>
      <x:c r="L294" s="39"/>
      <x:c r="M294" s="39"/>
      <x:c r="N294" s="39"/>
      <x:c r="Q294" s="39"/>
      <x:c r="R294" s="39"/>
      <x:c r="S294" s="39"/>
      <x:c r="T294" s="39"/>
    </x:row>
    <x:row r="295">
      <x:c r="K295" s="39"/>
      <x:c r="L295" s="39"/>
      <x:c r="M295" s="39"/>
      <x:c r="N295" s="39"/>
      <x:c r="Q295" s="39"/>
      <x:c r="R295" s="39"/>
      <x:c r="S295" s="39"/>
      <x:c r="T295" s="39"/>
    </x:row>
    <x:row r="296">
      <x:c r="K296" s="39"/>
      <x:c r="L296" s="39"/>
      <x:c r="M296" s="39"/>
      <x:c r="N296" s="39"/>
      <x:c r="Q296" s="39"/>
      <x:c r="R296" s="39"/>
      <x:c r="S296" s="39"/>
      <x:c r="T296" s="39"/>
    </x:row>
    <x:row r="297">
      <x:c r="K297" s="39"/>
      <x:c r="L297" s="39"/>
      <x:c r="M297" s="39"/>
      <x:c r="N297" s="39"/>
      <x:c r="Q297" s="39"/>
      <x:c r="R297" s="39"/>
      <x:c r="S297" s="39"/>
      <x:c r="T297" s="39"/>
    </x:row>
    <x:row r="298">
      <x:c r="K298" s="39"/>
      <x:c r="L298" s="39"/>
      <x:c r="M298" s="39"/>
      <x:c r="N298" s="39"/>
      <x:c r="Q298" s="39"/>
      <x:c r="R298" s="39"/>
      <x:c r="S298" s="39"/>
      <x:c r="T298" s="39"/>
    </x:row>
    <x:row r="299">
      <x:c r="K299" s="39"/>
      <x:c r="L299" s="39"/>
      <x:c r="M299" s="39"/>
      <x:c r="N299" s="39"/>
      <x:c r="Q299" s="39"/>
      <x:c r="R299" s="39"/>
      <x:c r="S299" s="39"/>
      <x:c r="T299" s="39"/>
    </x:row>
    <x:row r="300">
      <x:c r="K300" s="39"/>
      <x:c r="L300" s="39"/>
      <x:c r="M300" s="39"/>
      <x:c r="N300" s="39"/>
      <x:c r="Q300" s="39"/>
      <x:c r="R300" s="39"/>
      <x:c r="S300" s="39"/>
      <x:c r="T300" s="39"/>
    </x:row>
    <x:row r="301">
      <x:c r="K301" s="39"/>
      <x:c r="L301" s="39"/>
      <x:c r="M301" s="39"/>
      <x:c r="N301" s="39"/>
      <x:c r="Q301" s="39"/>
      <x:c r="R301" s="39"/>
      <x:c r="S301" s="39"/>
      <x:c r="T301" s="39"/>
    </x:row>
    <x:row r="302">
      <x:c r="K302" s="39"/>
      <x:c r="L302" s="39"/>
      <x:c r="M302" s="39"/>
      <x:c r="N302" s="39"/>
      <x:c r="Q302" s="39"/>
      <x:c r="R302" s="39"/>
      <x:c r="S302" s="39"/>
      <x:c r="T302" s="39"/>
    </x:row>
    <x:row r="303">
      <x:c r="K303" s="39"/>
      <x:c r="L303" s="39"/>
      <x:c r="M303" s="39"/>
      <x:c r="N303" s="39"/>
      <x:c r="Q303" s="39"/>
      <x:c r="R303" s="39"/>
      <x:c r="S303" s="39"/>
      <x:c r="T303" s="39"/>
    </x:row>
    <x:row r="304">
      <x:c r="K304" s="39"/>
      <x:c r="L304" s="39"/>
      <x:c r="M304" s="39"/>
      <x:c r="N304" s="39"/>
      <x:c r="Q304" s="39"/>
      <x:c r="R304" s="39"/>
      <x:c r="S304" s="39"/>
      <x:c r="T304" s="39"/>
    </x:row>
    <x:row r="305">
      <x:c r="K305" s="39"/>
      <x:c r="L305" s="39"/>
      <x:c r="M305" s="39"/>
      <x:c r="N305" s="39"/>
      <x:c r="Q305" s="39"/>
      <x:c r="R305" s="39"/>
      <x:c r="S305" s="39"/>
      <x:c r="T305" s="39"/>
    </x:row>
    <x:row r="306">
      <x:c r="K306" s="39"/>
      <x:c r="L306" s="39"/>
      <x:c r="M306" s="39"/>
      <x:c r="N306" s="39"/>
      <x:c r="Q306" s="39"/>
      <x:c r="R306" s="39"/>
      <x:c r="S306" s="39"/>
      <x:c r="T306" s="39"/>
    </x:row>
    <x:row r="307">
      <x:c r="K307" s="39"/>
      <x:c r="L307" s="39"/>
      <x:c r="M307" s="39"/>
      <x:c r="N307" s="39"/>
      <x:c r="Q307" s="39"/>
      <x:c r="R307" s="39"/>
      <x:c r="S307" s="39"/>
      <x:c r="T307" s="39"/>
    </x:row>
    <x:row r="308">
      <x:c r="K308" s="39"/>
      <x:c r="L308" s="39"/>
      <x:c r="M308" s="39"/>
      <x:c r="N308" s="39"/>
      <x:c r="Q308" s="39"/>
      <x:c r="R308" s="39"/>
      <x:c r="S308" s="39"/>
      <x:c r="T308" s="39"/>
    </x:row>
    <x:row r="309">
      <x:c r="K309" s="39"/>
      <x:c r="L309" s="39"/>
      <x:c r="M309" s="39"/>
      <x:c r="N309" s="39"/>
      <x:c r="Q309" s="39"/>
      <x:c r="R309" s="39"/>
      <x:c r="S309" s="39"/>
      <x:c r="T309" s="39"/>
    </x:row>
    <x:row r="310">
      <x:c r="K310" s="39"/>
      <x:c r="L310" s="39"/>
      <x:c r="M310" s="39"/>
      <x:c r="N310" s="39"/>
      <x:c r="Q310" s="39"/>
      <x:c r="R310" s="39"/>
      <x:c r="S310" s="39"/>
      <x:c r="T310" s="39"/>
    </x:row>
    <x:row r="311">
      <x:c r="K311" s="39"/>
      <x:c r="L311" s="39"/>
      <x:c r="M311" s="39"/>
      <x:c r="N311" s="39"/>
      <x:c r="Q311" s="39"/>
      <x:c r="R311" s="39"/>
      <x:c r="S311" s="39"/>
      <x:c r="T311" s="39"/>
    </x:row>
    <x:row r="312">
      <x:c r="K312" s="39"/>
      <x:c r="L312" s="39"/>
      <x:c r="M312" s="39"/>
      <x:c r="N312" s="39"/>
      <x:c r="Q312" s="39"/>
      <x:c r="R312" s="39"/>
      <x:c r="S312" s="39"/>
      <x:c r="T312" s="39"/>
    </x:row>
    <x:row r="313">
      <x:c r="K313" s="39"/>
      <x:c r="L313" s="39"/>
      <x:c r="M313" s="39"/>
      <x:c r="N313" s="39"/>
      <x:c r="Q313" s="39"/>
      <x:c r="R313" s="39"/>
      <x:c r="S313" s="39"/>
      <x:c r="T313" s="39"/>
    </x:row>
    <x:row r="314">
      <x:c r="K314" s="39"/>
      <x:c r="L314" s="39"/>
      <x:c r="M314" s="39"/>
      <x:c r="N314" s="39"/>
      <x:c r="Q314" s="39"/>
      <x:c r="R314" s="39"/>
      <x:c r="S314" s="39"/>
      <x:c r="T314" s="39"/>
    </x:row>
    <x:row r="315">
      <x:c r="K315" s="39"/>
      <x:c r="L315" s="39"/>
      <x:c r="M315" s="39"/>
      <x:c r="N315" s="39"/>
      <x:c r="Q315" s="39"/>
      <x:c r="R315" s="39"/>
      <x:c r="S315" s="39"/>
      <x:c r="T315" s="39"/>
    </x:row>
    <x:row r="316">
      <x:c r="K316" s="39"/>
      <x:c r="L316" s="39"/>
      <x:c r="M316" s="39"/>
      <x:c r="N316" s="39"/>
      <x:c r="Q316" s="39"/>
      <x:c r="R316" s="39"/>
      <x:c r="S316" s="39"/>
      <x:c r="T316" s="39"/>
    </x:row>
    <x:row r="317">
      <x:c r="K317" s="39"/>
      <x:c r="L317" s="39"/>
      <x:c r="M317" s="39"/>
      <x:c r="N317" s="39"/>
      <x:c r="Q317" s="39"/>
      <x:c r="R317" s="39"/>
      <x:c r="S317" s="39"/>
      <x:c r="T317" s="39"/>
    </x:row>
    <x:row r="318">
      <x:c r="K318" s="39"/>
      <x:c r="L318" s="39"/>
      <x:c r="M318" s="39"/>
      <x:c r="N318" s="39"/>
      <x:c r="Q318" s="39"/>
      <x:c r="R318" s="39"/>
      <x:c r="S318" s="39"/>
      <x:c r="T318" s="39"/>
    </x:row>
    <x:row r="319">
      <x:c r="K319" s="39"/>
      <x:c r="L319" s="39"/>
      <x:c r="M319" s="39"/>
      <x:c r="N319" s="39"/>
      <x:c r="Q319" s="39"/>
      <x:c r="R319" s="39"/>
      <x:c r="S319" s="39"/>
      <x:c r="T319" s="39"/>
    </x:row>
    <x:row r="320">
      <x:c r="K320" s="39"/>
      <x:c r="L320" s="39"/>
      <x:c r="M320" s="39"/>
      <x:c r="N320" s="39"/>
      <x:c r="Q320" s="39"/>
      <x:c r="R320" s="39"/>
      <x:c r="S320" s="39"/>
      <x:c r="T320" s="39"/>
    </x:row>
    <x:row r="321">
      <x:c r="K321" s="39"/>
      <x:c r="L321" s="39"/>
      <x:c r="M321" s="39"/>
      <x:c r="N321" s="39"/>
      <x:c r="Q321" s="39"/>
      <x:c r="R321" s="39"/>
      <x:c r="S321" s="39"/>
      <x:c r="T321" s="39"/>
    </x:row>
    <x:row r="322">
      <x:c r="K322" s="39"/>
      <x:c r="L322" s="39"/>
      <x:c r="M322" s="39"/>
      <x:c r="N322" s="39"/>
      <x:c r="Q322" s="39"/>
      <x:c r="R322" s="39"/>
      <x:c r="S322" s="39"/>
      <x:c r="T322" s="39"/>
    </x:row>
    <x:row r="323">
      <x:c r="K323" s="39"/>
      <x:c r="L323" s="39"/>
      <x:c r="M323" s="39"/>
      <x:c r="N323" s="39"/>
      <x:c r="Q323" s="39"/>
      <x:c r="R323" s="39"/>
      <x:c r="S323" s="39"/>
      <x:c r="T323" s="39"/>
    </x:row>
    <x:row r="324">
      <x:c r="K324" s="39"/>
      <x:c r="L324" s="39"/>
      <x:c r="M324" s="39"/>
      <x:c r="N324" s="39"/>
      <x:c r="Q324" s="39"/>
      <x:c r="R324" s="39"/>
      <x:c r="S324" s="39"/>
      <x:c r="T324" s="39"/>
    </x:row>
    <x:row r="325">
      <x:c r="K325" s="39"/>
      <x:c r="L325" s="39"/>
      <x:c r="M325" s="39"/>
      <x:c r="N325" s="39"/>
      <x:c r="Q325" s="39"/>
      <x:c r="R325" s="39"/>
      <x:c r="S325" s="39"/>
      <x:c r="T325" s="39"/>
    </x:row>
    <x:row r="326">
      <x:c r="K326" s="39"/>
      <x:c r="L326" s="39"/>
      <x:c r="M326" s="39"/>
      <x:c r="N326" s="39"/>
      <x:c r="Q326" s="39"/>
      <x:c r="R326" s="39"/>
      <x:c r="S326" s="39"/>
      <x:c r="T326" s="39"/>
    </x:row>
    <x:row r="327">
      <x:c r="K327" s="39"/>
      <x:c r="L327" s="39"/>
      <x:c r="M327" s="39"/>
      <x:c r="N327" s="39"/>
      <x:c r="Q327" s="39"/>
      <x:c r="R327" s="39"/>
      <x:c r="S327" s="39"/>
      <x:c r="T327" s="39"/>
    </x:row>
    <x:row r="328">
      <x:c r="K328" s="39"/>
      <x:c r="L328" s="39"/>
      <x:c r="M328" s="39"/>
      <x:c r="N328" s="39"/>
      <x:c r="Q328" s="39"/>
      <x:c r="R328" s="39"/>
      <x:c r="S328" s="39"/>
      <x:c r="T328" s="39"/>
    </x:row>
    <x:row r="329">
      <x:c r="K329" s="39"/>
      <x:c r="L329" s="39"/>
      <x:c r="M329" s="39"/>
      <x:c r="N329" s="39"/>
      <x:c r="Q329" s="39"/>
      <x:c r="R329" s="39"/>
      <x:c r="S329" s="39"/>
      <x:c r="T329" s="39"/>
    </x:row>
    <x:row r="330">
      <x:c r="K330" s="39"/>
      <x:c r="L330" s="39"/>
      <x:c r="M330" s="39"/>
      <x:c r="N330" s="39"/>
      <x:c r="Q330" s="39"/>
      <x:c r="R330" s="39"/>
      <x:c r="S330" s="39"/>
      <x:c r="T330" s="39"/>
    </x:row>
    <x:row r="331">
      <x:c r="K331" s="39"/>
      <x:c r="L331" s="39"/>
      <x:c r="M331" s="39"/>
      <x:c r="N331" s="39"/>
      <x:c r="Q331" s="39"/>
      <x:c r="R331" s="39"/>
      <x:c r="S331" s="39"/>
      <x:c r="T331" s="39"/>
    </x:row>
    <x:row r="332">
      <x:c r="K332" s="39"/>
      <x:c r="L332" s="39"/>
      <x:c r="M332" s="39"/>
      <x:c r="N332" s="39"/>
      <x:c r="Q332" s="39"/>
      <x:c r="R332" s="39"/>
      <x:c r="S332" s="39"/>
      <x:c r="T332" s="39"/>
    </x:row>
    <x:row r="333">
      <x:c r="K333" s="39"/>
      <x:c r="L333" s="39"/>
      <x:c r="M333" s="39"/>
      <x:c r="N333" s="39"/>
      <x:c r="Q333" s="39"/>
      <x:c r="R333" s="39"/>
      <x:c r="S333" s="39"/>
      <x:c r="T333" s="39"/>
    </x:row>
    <x:row r="334">
      <x:c r="K334" s="39"/>
      <x:c r="L334" s="39"/>
      <x:c r="M334" s="39"/>
      <x:c r="N334" s="39"/>
      <x:c r="Q334" s="39"/>
      <x:c r="R334" s="39"/>
      <x:c r="S334" s="39"/>
      <x:c r="T334" s="39"/>
    </x:row>
    <x:row r="335">
      <x:c r="K335" s="39"/>
      <x:c r="L335" s="39"/>
      <x:c r="M335" s="39"/>
      <x:c r="N335" s="39"/>
      <x:c r="Q335" s="39"/>
      <x:c r="R335" s="39"/>
      <x:c r="S335" s="39"/>
      <x:c r="T335" s="39"/>
    </x:row>
    <x:row r="336">
      <x:c r="K336" s="39"/>
      <x:c r="L336" s="39"/>
      <x:c r="M336" s="39"/>
      <x:c r="N336" s="39"/>
      <x:c r="Q336" s="39"/>
      <x:c r="R336" s="39"/>
      <x:c r="S336" s="39"/>
      <x:c r="T336" s="39"/>
    </x:row>
    <x:row r="337">
      <x:c r="K337" s="39"/>
      <x:c r="L337" s="39"/>
      <x:c r="M337" s="39"/>
      <x:c r="N337" s="39"/>
      <x:c r="Q337" s="39"/>
      <x:c r="R337" s="39"/>
      <x:c r="S337" s="39"/>
      <x:c r="T337" s="39"/>
    </x:row>
    <x:row r="338">
      <x:c r="K338" s="39"/>
      <x:c r="L338" s="39"/>
      <x:c r="M338" s="39"/>
      <x:c r="N338" s="39"/>
      <x:c r="Q338" s="39"/>
      <x:c r="R338" s="39"/>
      <x:c r="S338" s="39"/>
      <x:c r="T338" s="39"/>
    </x:row>
    <x:row r="339">
      <x:c r="K339" s="39"/>
      <x:c r="L339" s="39"/>
      <x:c r="M339" s="39"/>
      <x:c r="N339" s="39"/>
      <x:c r="Q339" s="39"/>
      <x:c r="R339" s="39"/>
      <x:c r="S339" s="39"/>
      <x:c r="T339" s="39"/>
    </x:row>
    <x:row r="340">
      <x:c r="K340" s="39"/>
      <x:c r="L340" s="39"/>
      <x:c r="M340" s="39"/>
      <x:c r="N340" s="39"/>
      <x:c r="Q340" s="39"/>
      <x:c r="R340" s="39"/>
      <x:c r="S340" s="39"/>
      <x:c r="T340" s="39"/>
    </x:row>
    <x:row r="341">
      <x:c r="K341" s="39"/>
      <x:c r="L341" s="39"/>
      <x:c r="M341" s="39"/>
      <x:c r="N341" s="39"/>
      <x:c r="Q341" s="39"/>
      <x:c r="R341" s="39"/>
      <x:c r="S341" s="39"/>
      <x:c r="T341" s="39"/>
    </x:row>
    <x:row r="342">
      <x:c r="K342" s="39"/>
      <x:c r="L342" s="39"/>
      <x:c r="M342" s="39"/>
      <x:c r="N342" s="39"/>
      <x:c r="Q342" s="39"/>
      <x:c r="R342" s="39"/>
      <x:c r="S342" s="39"/>
      <x:c r="T342" s="39"/>
    </x:row>
    <x:row r="343">
      <x:c r="K343" s="39"/>
      <x:c r="L343" s="39"/>
      <x:c r="M343" s="39"/>
      <x:c r="N343" s="39"/>
      <x:c r="Q343" s="39"/>
      <x:c r="R343" s="39"/>
      <x:c r="S343" s="39"/>
      <x:c r="T343" s="39"/>
    </x:row>
    <x:row r="344">
      <x:c r="K344" s="39"/>
      <x:c r="L344" s="39"/>
      <x:c r="M344" s="39"/>
      <x:c r="N344" s="39"/>
      <x:c r="Q344" s="39"/>
      <x:c r="R344" s="39"/>
      <x:c r="S344" s="39"/>
      <x:c r="T344" s="39"/>
    </x:row>
    <x:row r="345">
      <x:c r="K345" s="39"/>
      <x:c r="L345" s="39"/>
      <x:c r="M345" s="39"/>
      <x:c r="N345" s="39"/>
      <x:c r="Q345" s="39"/>
      <x:c r="R345" s="39"/>
      <x:c r="S345" s="39"/>
      <x:c r="T345" s="39"/>
    </x:row>
    <x:row r="346">
      <x:c r="K346" s="39"/>
      <x:c r="L346" s="39"/>
      <x:c r="M346" s="39"/>
      <x:c r="N346" s="39"/>
      <x:c r="Q346" s="39"/>
      <x:c r="R346" s="39"/>
      <x:c r="S346" s="39"/>
      <x:c r="T346" s="39"/>
    </x:row>
    <x:row r="347">
      <x:c r="K347" s="39"/>
      <x:c r="L347" s="39"/>
      <x:c r="M347" s="39"/>
      <x:c r="N347" s="39"/>
      <x:c r="Q347" s="39"/>
      <x:c r="R347" s="39"/>
      <x:c r="S347" s="39"/>
      <x:c r="T347" s="39"/>
    </x:row>
    <x:row r="348">
      <x:c r="K348" s="39"/>
      <x:c r="L348" s="39"/>
      <x:c r="M348" s="39"/>
      <x:c r="N348" s="39"/>
      <x:c r="Q348" s="39"/>
      <x:c r="R348" s="39"/>
      <x:c r="S348" s="39"/>
      <x:c r="T348" s="39"/>
    </x:row>
    <x:row r="349">
      <x:c r="K349" s="39"/>
      <x:c r="L349" s="39"/>
      <x:c r="M349" s="39"/>
      <x:c r="N349" s="39"/>
      <x:c r="Q349" s="39"/>
      <x:c r="R349" s="39"/>
      <x:c r="S349" s="39"/>
      <x:c r="T349" s="39"/>
    </x:row>
    <x:row r="350">
      <x:c r="K350" s="39"/>
      <x:c r="L350" s="39"/>
      <x:c r="M350" s="39"/>
      <x:c r="N350" s="39"/>
      <x:c r="Q350" s="39"/>
      <x:c r="R350" s="39"/>
      <x:c r="S350" s="39"/>
      <x:c r="T350" s="39"/>
    </x:row>
    <x:row r="351">
      <x:c r="K351" s="39"/>
      <x:c r="L351" s="39"/>
      <x:c r="M351" s="39"/>
      <x:c r="N351" s="39"/>
      <x:c r="Q351" s="39"/>
      <x:c r="R351" s="39"/>
      <x:c r="S351" s="39"/>
      <x:c r="T351" s="39"/>
    </x:row>
    <x:row r="352">
      <x:c r="K352" s="39"/>
      <x:c r="L352" s="39"/>
      <x:c r="M352" s="39"/>
      <x:c r="N352" s="39"/>
      <x:c r="Q352" s="39"/>
      <x:c r="R352" s="39"/>
      <x:c r="S352" s="39"/>
      <x:c r="T352" s="39"/>
    </x:row>
    <x:row r="353">
      <x:c r="K353" s="39"/>
      <x:c r="L353" s="39"/>
      <x:c r="M353" s="39"/>
      <x:c r="N353" s="39"/>
      <x:c r="Q353" s="39"/>
      <x:c r="R353" s="39"/>
      <x:c r="S353" s="39"/>
      <x:c r="T353" s="39"/>
    </x:row>
    <x:row r="354">
      <x:c r="K354" s="39"/>
      <x:c r="L354" s="39"/>
      <x:c r="M354" s="39"/>
      <x:c r="N354" s="39"/>
      <x:c r="Q354" s="39"/>
      <x:c r="R354" s="39"/>
      <x:c r="S354" s="39"/>
      <x:c r="T354" s="39"/>
    </x:row>
    <x:row r="355">
      <x:c r="K355" s="39"/>
      <x:c r="L355" s="39"/>
      <x:c r="M355" s="39"/>
      <x:c r="N355" s="39"/>
      <x:c r="Q355" s="39"/>
      <x:c r="R355" s="39"/>
      <x:c r="S355" s="39"/>
      <x:c r="T355" s="39"/>
    </x:row>
    <x:row r="356">
      <x:c r="K356" s="39"/>
      <x:c r="L356" s="39"/>
      <x:c r="M356" s="39"/>
      <x:c r="N356" s="39"/>
      <x:c r="Q356" s="39"/>
      <x:c r="R356" s="39"/>
      <x:c r="S356" s="39"/>
      <x:c r="T356" s="39"/>
    </x:row>
    <x:row r="357">
      <x:c r="K357" s="39"/>
      <x:c r="L357" s="39"/>
      <x:c r="M357" s="39"/>
      <x:c r="N357" s="39"/>
      <x:c r="Q357" s="39"/>
      <x:c r="R357" s="39"/>
      <x:c r="S357" s="39"/>
      <x:c r="T357" s="39"/>
    </x:row>
    <x:row r="358">
      <x:c r="K358" s="39"/>
      <x:c r="L358" s="39"/>
      <x:c r="M358" s="39"/>
      <x:c r="N358" s="39"/>
      <x:c r="Q358" s="39"/>
      <x:c r="R358" s="39"/>
      <x:c r="S358" s="39"/>
      <x:c r="T358" s="39"/>
    </x:row>
    <x:row r="359">
      <x:c r="K359" s="39"/>
      <x:c r="L359" s="39"/>
      <x:c r="M359" s="39"/>
      <x:c r="N359" s="39"/>
      <x:c r="Q359" s="39"/>
      <x:c r="R359" s="39"/>
      <x:c r="S359" s="39"/>
      <x:c r="T359" s="39"/>
    </x:row>
    <x:row r="360">
      <x:c r="K360" s="39"/>
      <x:c r="L360" s="39"/>
      <x:c r="M360" s="39"/>
      <x:c r="N360" s="39"/>
      <x:c r="Q360" s="39"/>
      <x:c r="R360" s="39"/>
      <x:c r="S360" s="39"/>
      <x:c r="T360" s="39"/>
    </x:row>
    <x:row r="361">
      <x:c r="K361" s="39"/>
      <x:c r="L361" s="39"/>
      <x:c r="M361" s="39"/>
      <x:c r="N361" s="39"/>
      <x:c r="Q361" s="39"/>
      <x:c r="R361" s="39"/>
      <x:c r="S361" s="39"/>
      <x:c r="T361" s="39"/>
    </x:row>
    <x:row r="362">
      <x:c r="K362" s="39"/>
      <x:c r="L362" s="39"/>
      <x:c r="M362" s="39"/>
      <x:c r="N362" s="39"/>
      <x:c r="Q362" s="39"/>
      <x:c r="R362" s="39"/>
      <x:c r="S362" s="39"/>
      <x:c r="T362" s="39"/>
    </x:row>
    <x:row r="363">
      <x:c r="K363" s="39"/>
      <x:c r="L363" s="39"/>
      <x:c r="M363" s="39"/>
      <x:c r="N363" s="39"/>
      <x:c r="Q363" s="39"/>
      <x:c r="R363" s="39"/>
      <x:c r="S363" s="39"/>
      <x:c r="T363" s="39"/>
    </x:row>
    <x:row r="364">
      <x:c r="K364" s="39"/>
      <x:c r="L364" s="39"/>
      <x:c r="M364" s="39"/>
      <x:c r="N364" s="39"/>
      <x:c r="Q364" s="39"/>
      <x:c r="R364" s="39"/>
      <x:c r="S364" s="39"/>
      <x:c r="T364" s="39"/>
    </x:row>
    <x:row r="365">
      <x:c r="K365" s="39"/>
      <x:c r="L365" s="39"/>
      <x:c r="M365" s="39"/>
      <x:c r="N365" s="39"/>
      <x:c r="Q365" s="39"/>
      <x:c r="R365" s="39"/>
      <x:c r="S365" s="39"/>
      <x:c r="T365" s="39"/>
    </x:row>
    <x:row r="366">
      <x:c r="K366" s="39"/>
      <x:c r="L366" s="39"/>
      <x:c r="M366" s="39"/>
      <x:c r="N366" s="39"/>
      <x:c r="Q366" s="39"/>
      <x:c r="R366" s="39"/>
      <x:c r="S366" s="39"/>
      <x:c r="T366" s="39"/>
    </x:row>
    <x:row r="367">
      <x:c r="K367" s="39"/>
      <x:c r="L367" s="39"/>
      <x:c r="M367" s="39"/>
      <x:c r="N367" s="39"/>
      <x:c r="Q367" s="39"/>
      <x:c r="R367" s="39"/>
      <x:c r="S367" s="39"/>
      <x:c r="T367" s="39"/>
    </x:row>
    <x:row r="368">
      <x:c r="K368" s="39"/>
      <x:c r="L368" s="39"/>
      <x:c r="M368" s="39"/>
      <x:c r="N368" s="39"/>
      <x:c r="Q368" s="39"/>
      <x:c r="R368" s="39"/>
      <x:c r="S368" s="39"/>
      <x:c r="T368" s="39"/>
    </x:row>
    <x:row r="369">
      <x:c r="K369" s="39"/>
      <x:c r="L369" s="39"/>
      <x:c r="M369" s="39"/>
      <x:c r="N369" s="39"/>
      <x:c r="Q369" s="39"/>
      <x:c r="R369" s="39"/>
      <x:c r="S369" s="39"/>
      <x:c r="T369" s="39"/>
    </x:row>
    <x:row r="370">
      <x:c r="K370" s="39"/>
      <x:c r="L370" s="39"/>
      <x:c r="M370" s="39"/>
      <x:c r="N370" s="39"/>
      <x:c r="Q370" s="39"/>
      <x:c r="R370" s="39"/>
      <x:c r="S370" s="39"/>
      <x:c r="T370" s="39"/>
    </x:row>
    <x:row r="371">
      <x:c r="K371" s="39"/>
      <x:c r="L371" s="39"/>
      <x:c r="M371" s="39"/>
      <x:c r="N371" s="39"/>
      <x:c r="Q371" s="39"/>
      <x:c r="R371" s="39"/>
      <x:c r="S371" s="39"/>
      <x:c r="T371" s="39"/>
    </x:row>
    <x:row r="372">
      <x:c r="K372" s="39"/>
      <x:c r="L372" s="39"/>
      <x:c r="M372" s="39"/>
      <x:c r="N372" s="39"/>
      <x:c r="Q372" s="39"/>
      <x:c r="R372" s="39"/>
      <x:c r="S372" s="39"/>
      <x:c r="T372" s="39"/>
    </x:row>
    <x:row r="373">
      <x:c r="K373" s="39"/>
      <x:c r="L373" s="39"/>
      <x:c r="M373" s="39"/>
      <x:c r="N373" s="39"/>
      <x:c r="Q373" s="39"/>
      <x:c r="R373" s="39"/>
      <x:c r="S373" s="39"/>
      <x:c r="T373" s="39"/>
    </x:row>
    <x:row r="374">
      <x:c r="K374" s="39"/>
      <x:c r="L374" s="39"/>
      <x:c r="M374" s="39"/>
      <x:c r="N374" s="39"/>
      <x:c r="Q374" s="39"/>
      <x:c r="R374" s="39"/>
      <x:c r="S374" s="39"/>
      <x:c r="T374" s="39"/>
    </x:row>
    <x:row r="375">
      <x:c r="K375" s="39"/>
      <x:c r="L375" s="39"/>
      <x:c r="M375" s="39"/>
      <x:c r="N375" s="39"/>
      <x:c r="Q375" s="39"/>
      <x:c r="R375" s="39"/>
      <x:c r="S375" s="39"/>
      <x:c r="T375" s="39"/>
    </x:row>
    <x:row r="376">
      <x:c r="K376" s="39"/>
      <x:c r="L376" s="39"/>
      <x:c r="M376" s="39"/>
      <x:c r="N376" s="39"/>
      <x:c r="Q376" s="39"/>
      <x:c r="R376" s="39"/>
      <x:c r="S376" s="39"/>
      <x:c r="T376" s="39"/>
    </x:row>
    <x:row r="377">
      <x:c r="K377" s="39"/>
      <x:c r="L377" s="39"/>
      <x:c r="M377" s="39"/>
      <x:c r="N377" s="39"/>
      <x:c r="Q377" s="39"/>
      <x:c r="R377" s="39"/>
      <x:c r="S377" s="39"/>
      <x:c r="T377" s="39"/>
    </x:row>
    <x:row r="378">
      <x:c r="K378" s="39"/>
      <x:c r="L378" s="39"/>
      <x:c r="M378" s="39"/>
      <x:c r="N378" s="39"/>
      <x:c r="Q378" s="39"/>
      <x:c r="R378" s="39"/>
      <x:c r="S378" s="39"/>
      <x:c r="T378" s="39"/>
    </x:row>
    <x:row r="379">
      <x:c r="K379" s="39"/>
      <x:c r="L379" s="39"/>
      <x:c r="M379" s="39"/>
      <x:c r="N379" s="39"/>
      <x:c r="Q379" s="39"/>
      <x:c r="R379" s="39"/>
      <x:c r="S379" s="39"/>
      <x:c r="T379" s="39"/>
    </x:row>
    <x:row r="380">
      <x:c r="K380" s="39"/>
      <x:c r="L380" s="39"/>
      <x:c r="M380" s="39"/>
      <x:c r="N380" s="39"/>
      <x:c r="Q380" s="39"/>
      <x:c r="R380" s="39"/>
      <x:c r="S380" s="39"/>
      <x:c r="T380" s="39"/>
    </x:row>
    <x:row r="381">
      <x:c r="K381" s="39"/>
      <x:c r="L381" s="39"/>
      <x:c r="M381" s="39"/>
      <x:c r="N381" s="39"/>
      <x:c r="Q381" s="39"/>
      <x:c r="R381" s="39"/>
      <x:c r="S381" s="39"/>
      <x:c r="T381" s="39"/>
    </x:row>
    <x:row r="382">
      <x:c r="K382" s="39"/>
      <x:c r="L382" s="39"/>
      <x:c r="M382" s="39"/>
      <x:c r="N382" s="39"/>
      <x:c r="Q382" s="39"/>
      <x:c r="R382" s="39"/>
      <x:c r="S382" s="39"/>
      <x:c r="T382" s="39"/>
    </x:row>
    <x:row r="383">
      <x:c r="K383" s="39"/>
      <x:c r="L383" s="39"/>
      <x:c r="M383" s="39"/>
      <x:c r="N383" s="39"/>
      <x:c r="Q383" s="39"/>
      <x:c r="R383" s="39"/>
      <x:c r="S383" s="39"/>
      <x:c r="T383" s="39"/>
    </x:row>
    <x:row r="384">
      <x:c r="K384" s="39"/>
      <x:c r="L384" s="39"/>
      <x:c r="M384" s="39"/>
      <x:c r="N384" s="39"/>
      <x:c r="Q384" s="39"/>
      <x:c r="R384" s="39"/>
      <x:c r="S384" s="39"/>
      <x:c r="T384" s="39"/>
    </x:row>
    <x:row r="385">
      <x:c r="K385" s="39"/>
      <x:c r="L385" s="39"/>
      <x:c r="M385" s="39"/>
      <x:c r="N385" s="39"/>
      <x:c r="Q385" s="39"/>
      <x:c r="R385" s="39"/>
      <x:c r="S385" s="39"/>
      <x:c r="T385" s="39"/>
    </x:row>
    <x:row r="386">
      <x:c r="K386" s="39"/>
      <x:c r="L386" s="39"/>
      <x:c r="M386" s="39"/>
      <x:c r="N386" s="39"/>
      <x:c r="Q386" s="39"/>
      <x:c r="R386" s="39"/>
      <x:c r="S386" s="39"/>
      <x:c r="T386" s="39"/>
    </x:row>
    <x:row r="387">
      <x:c r="K387" s="39"/>
      <x:c r="L387" s="39"/>
      <x:c r="M387" s="39"/>
      <x:c r="N387" s="39"/>
      <x:c r="Q387" s="39"/>
      <x:c r="R387" s="39"/>
      <x:c r="S387" s="39"/>
      <x:c r="T387" s="39"/>
    </x:row>
    <x:row r="388">
      <x:c r="K388" s="39"/>
      <x:c r="L388" s="39"/>
      <x:c r="M388" s="39"/>
      <x:c r="N388" s="39"/>
      <x:c r="Q388" s="39"/>
      <x:c r="R388" s="39"/>
      <x:c r="S388" s="39"/>
      <x:c r="T388" s="39"/>
    </x:row>
    <x:row r="389">
      <x:c r="K389" s="39"/>
      <x:c r="L389" s="39"/>
      <x:c r="M389" s="39"/>
      <x:c r="N389" s="39"/>
      <x:c r="Q389" s="39"/>
      <x:c r="R389" s="39"/>
      <x:c r="S389" s="39"/>
      <x:c r="T389" s="39"/>
    </x:row>
    <x:row r="390">
      <x:c r="K390" s="39"/>
      <x:c r="L390" s="39"/>
      <x:c r="M390" s="39"/>
      <x:c r="N390" s="39"/>
      <x:c r="Q390" s="39"/>
      <x:c r="R390" s="39"/>
      <x:c r="S390" s="39"/>
      <x:c r="T390" s="39"/>
    </x:row>
    <x:row r="391">
      <x:c r="K391" s="39"/>
      <x:c r="L391" s="39"/>
      <x:c r="M391" s="39"/>
      <x:c r="N391" s="39"/>
      <x:c r="Q391" s="39"/>
      <x:c r="R391" s="39"/>
      <x:c r="S391" s="39"/>
      <x:c r="T391" s="39"/>
    </x:row>
    <x:row r="392">
      <x:c r="K392" s="39"/>
      <x:c r="L392" s="39"/>
      <x:c r="M392" s="39"/>
      <x:c r="N392" s="39"/>
      <x:c r="Q392" s="39"/>
      <x:c r="R392" s="39"/>
      <x:c r="S392" s="39"/>
      <x:c r="T392" s="39"/>
    </x:row>
    <x:row r="393">
      <x:c r="K393" s="39"/>
      <x:c r="L393" s="39"/>
      <x:c r="M393" s="39"/>
      <x:c r="N393" s="39"/>
      <x:c r="Q393" s="39"/>
      <x:c r="R393" s="39"/>
      <x:c r="S393" s="39"/>
      <x:c r="T393" s="39"/>
    </x:row>
    <x:row r="394">
      <x:c r="K394" s="39"/>
      <x:c r="L394" s="39"/>
      <x:c r="M394" s="39"/>
      <x:c r="N394" s="39"/>
      <x:c r="Q394" s="39"/>
      <x:c r="R394" s="39"/>
      <x:c r="S394" s="39"/>
      <x:c r="T394" s="39"/>
    </x:row>
    <x:row r="395">
      <x:c r="K395" s="39"/>
      <x:c r="L395" s="39"/>
      <x:c r="M395" s="39"/>
      <x:c r="N395" s="39"/>
      <x:c r="Q395" s="39"/>
      <x:c r="R395" s="39"/>
      <x:c r="S395" s="39"/>
      <x:c r="T395" s="39"/>
    </x:row>
    <x:row r="396">
      <x:c r="K396" s="39"/>
      <x:c r="L396" s="39"/>
      <x:c r="M396" s="39"/>
      <x:c r="N396" s="39"/>
      <x:c r="Q396" s="39"/>
      <x:c r="R396" s="39"/>
      <x:c r="S396" s="39"/>
      <x:c r="T396" s="39"/>
    </x:row>
    <x:row r="397">
      <x:c r="K397" s="39"/>
      <x:c r="L397" s="39"/>
      <x:c r="M397" s="39"/>
      <x:c r="N397" s="39"/>
      <x:c r="Q397" s="39"/>
      <x:c r="R397" s="39"/>
      <x:c r="S397" s="39"/>
      <x:c r="T397" s="39"/>
    </x:row>
    <x:row r="398">
      <x:c r="K398" s="39"/>
      <x:c r="L398" s="39"/>
      <x:c r="M398" s="39"/>
      <x:c r="N398" s="39"/>
      <x:c r="Q398" s="39"/>
      <x:c r="R398" s="39"/>
      <x:c r="S398" s="39"/>
      <x:c r="T398" s="39"/>
    </x:row>
    <x:row r="399">
      <x:c r="K399" s="39"/>
      <x:c r="L399" s="39"/>
      <x:c r="M399" s="39"/>
      <x:c r="N399" s="39"/>
      <x:c r="Q399" s="39"/>
      <x:c r="R399" s="39"/>
      <x:c r="S399" s="39"/>
      <x:c r="T399" s="39"/>
    </x:row>
    <x:row r="400">
      <x:c r="K400" s="39"/>
      <x:c r="L400" s="39"/>
      <x:c r="M400" s="39"/>
      <x:c r="N400" s="39"/>
      <x:c r="Q400" s="39"/>
      <x:c r="R400" s="39"/>
      <x:c r="S400" s="39"/>
      <x:c r="T400" s="39"/>
    </x:row>
    <x:row r="401">
      <x:c r="K401" s="39"/>
      <x:c r="L401" s="39"/>
      <x:c r="M401" s="39"/>
      <x:c r="N401" s="39"/>
      <x:c r="Q401" s="39"/>
      <x:c r="R401" s="39"/>
      <x:c r="S401" s="39"/>
      <x:c r="T401" s="39"/>
    </x:row>
    <x:row r="402">
      <x:c r="K402" s="39"/>
      <x:c r="L402" s="39"/>
      <x:c r="M402" s="39"/>
      <x:c r="N402" s="39"/>
      <x:c r="Q402" s="39"/>
      <x:c r="R402" s="39"/>
      <x:c r="S402" s="39"/>
      <x:c r="T402" s="39"/>
    </x:row>
    <x:row r="403">
      <x:c r="K403" s="39"/>
      <x:c r="L403" s="39"/>
      <x:c r="M403" s="39"/>
      <x:c r="N403" s="39"/>
      <x:c r="Q403" s="39"/>
      <x:c r="R403" s="39"/>
      <x:c r="S403" s="39"/>
      <x:c r="T403" s="39"/>
    </x:row>
    <x:row r="404">
      <x:c r="K404" s="39"/>
      <x:c r="L404" s="39"/>
      <x:c r="M404" s="39"/>
      <x:c r="N404" s="39"/>
      <x:c r="Q404" s="39"/>
      <x:c r="R404" s="39"/>
      <x:c r="S404" s="39"/>
      <x:c r="T404" s="39"/>
    </x:row>
    <x:row r="405">
      <x:c r="K405" s="39"/>
      <x:c r="L405" s="39"/>
      <x:c r="M405" s="39"/>
      <x:c r="N405" s="39"/>
      <x:c r="Q405" s="39"/>
      <x:c r="R405" s="39"/>
      <x:c r="S405" s="39"/>
      <x:c r="T405" s="39"/>
    </x:row>
    <x:row r="406">
      <x:c r="K406" s="39"/>
      <x:c r="L406" s="39"/>
      <x:c r="M406" s="39"/>
      <x:c r="N406" s="39"/>
      <x:c r="Q406" s="39"/>
      <x:c r="R406" s="39"/>
      <x:c r="S406" s="39"/>
      <x:c r="T406" s="39"/>
    </x:row>
    <x:row r="407">
      <x:c r="K407" s="39"/>
      <x:c r="L407" s="39"/>
      <x:c r="M407" s="39"/>
      <x:c r="N407" s="39"/>
      <x:c r="Q407" s="39"/>
      <x:c r="R407" s="39"/>
      <x:c r="S407" s="39"/>
      <x:c r="T407" s="39"/>
    </x:row>
    <x:row r="408">
      <x:c r="K408" s="39"/>
      <x:c r="L408" s="39"/>
      <x:c r="M408" s="39"/>
      <x:c r="N408" s="39"/>
      <x:c r="Q408" s="39"/>
      <x:c r="R408" s="39"/>
      <x:c r="S408" s="39"/>
      <x:c r="T408" s="39"/>
    </x:row>
    <x:row r="409">
      <x:c r="K409" s="39"/>
      <x:c r="L409" s="39"/>
      <x:c r="M409" s="39"/>
      <x:c r="N409" s="39"/>
      <x:c r="Q409" s="39"/>
      <x:c r="R409" s="39"/>
      <x:c r="S409" s="39"/>
      <x:c r="T409" s="39"/>
    </x:row>
    <x:row r="410">
      <x:c r="K410" s="39"/>
      <x:c r="L410" s="39"/>
      <x:c r="M410" s="39"/>
      <x:c r="N410" s="39"/>
      <x:c r="Q410" s="39"/>
      <x:c r="R410" s="39"/>
      <x:c r="S410" s="39"/>
      <x:c r="T410" s="39"/>
    </x:row>
    <x:row r="411">
      <x:c r="K411" s="39"/>
      <x:c r="L411" s="39"/>
      <x:c r="M411" s="39"/>
      <x:c r="N411" s="39"/>
      <x:c r="Q411" s="39"/>
      <x:c r="R411" s="39"/>
      <x:c r="S411" s="39"/>
      <x:c r="T411" s="39"/>
    </x:row>
    <x:row r="412">
      <x:c r="K412" s="39"/>
      <x:c r="L412" s="39"/>
      <x:c r="M412" s="39"/>
      <x:c r="N412" s="39"/>
      <x:c r="Q412" s="39"/>
      <x:c r="R412" s="39"/>
      <x:c r="S412" s="39"/>
      <x:c r="T412" s="39"/>
    </x:row>
    <x:row r="413">
      <x:c r="K413" s="39"/>
      <x:c r="L413" s="39"/>
      <x:c r="M413" s="39"/>
      <x:c r="N413" s="39"/>
      <x:c r="Q413" s="39"/>
      <x:c r="R413" s="39"/>
      <x:c r="S413" s="39"/>
      <x:c r="T413" s="39"/>
    </x:row>
    <x:row r="414">
      <x:c r="K414" s="39"/>
      <x:c r="L414" s="39"/>
      <x:c r="M414" s="39"/>
      <x:c r="N414" s="39"/>
      <x:c r="Q414" s="39"/>
      <x:c r="R414" s="39"/>
      <x:c r="S414" s="39"/>
      <x:c r="T414" s="39"/>
    </x:row>
    <x:row r="415">
      <x:c r="K415" s="39"/>
      <x:c r="L415" s="39"/>
      <x:c r="M415" s="39"/>
      <x:c r="N415" s="39"/>
      <x:c r="Q415" s="39"/>
      <x:c r="R415" s="39"/>
      <x:c r="S415" s="39"/>
      <x:c r="T415" s="39"/>
    </x:row>
    <x:row r="416">
      <x:c r="K416" s="39"/>
      <x:c r="L416" s="39"/>
      <x:c r="M416" s="39"/>
      <x:c r="N416" s="39"/>
      <x:c r="Q416" s="39"/>
      <x:c r="R416" s="39"/>
      <x:c r="S416" s="39"/>
      <x:c r="T416" s="39"/>
    </x:row>
    <x:row r="417">
      <x:c r="K417" s="39"/>
      <x:c r="L417" s="39"/>
      <x:c r="M417" s="39"/>
      <x:c r="N417" s="39"/>
      <x:c r="Q417" s="39"/>
      <x:c r="R417" s="39"/>
      <x:c r="S417" s="39"/>
      <x:c r="T417" s="39"/>
    </x:row>
    <x:row r="418">
      <x:c r="K418" s="39"/>
      <x:c r="L418" s="39"/>
      <x:c r="M418" s="39"/>
      <x:c r="N418" s="39"/>
      <x:c r="Q418" s="39"/>
      <x:c r="R418" s="39"/>
      <x:c r="S418" s="39"/>
      <x:c r="T418" s="39"/>
    </x:row>
    <x:row r="419">
      <x:c r="K419" s="39"/>
      <x:c r="L419" s="39"/>
      <x:c r="M419" s="39"/>
      <x:c r="N419" s="39"/>
      <x:c r="Q419" s="39"/>
      <x:c r="R419" s="39"/>
      <x:c r="S419" s="39"/>
      <x:c r="T419" s="39"/>
    </x:row>
    <x:row r="420">
      <x:c r="K420" s="39"/>
      <x:c r="L420" s="39"/>
      <x:c r="M420" s="39"/>
      <x:c r="N420" s="39"/>
      <x:c r="Q420" s="39"/>
      <x:c r="R420" s="39"/>
      <x:c r="S420" s="39"/>
      <x:c r="T420" s="39"/>
    </x:row>
    <x:row r="421">
      <x:c r="K421" s="39"/>
      <x:c r="L421" s="39"/>
      <x:c r="M421" s="39"/>
      <x:c r="N421" s="39"/>
      <x:c r="Q421" s="39"/>
      <x:c r="R421" s="39"/>
      <x:c r="S421" s="39"/>
      <x:c r="T421" s="39"/>
    </x:row>
    <x:row r="422">
      <x:c r="K422" s="39"/>
      <x:c r="L422" s="39"/>
      <x:c r="M422" s="39"/>
      <x:c r="N422" s="39"/>
      <x:c r="Q422" s="39"/>
      <x:c r="R422" s="39"/>
      <x:c r="S422" s="39"/>
      <x:c r="T422" s="39"/>
    </x:row>
    <x:row r="423">
      <x:c r="K423" s="39"/>
      <x:c r="L423" s="39"/>
      <x:c r="M423" s="39"/>
      <x:c r="N423" s="39"/>
      <x:c r="Q423" s="39"/>
      <x:c r="R423" s="39"/>
      <x:c r="S423" s="39"/>
      <x:c r="T423" s="39"/>
    </x:row>
    <x:row r="424">
      <x:c r="K424" s="39"/>
      <x:c r="L424" s="39"/>
      <x:c r="M424" s="39"/>
      <x:c r="N424" s="39"/>
      <x:c r="Q424" s="39"/>
      <x:c r="R424" s="39"/>
      <x:c r="S424" s="39"/>
      <x:c r="T424" s="39"/>
    </x:row>
    <x:row r="425">
      <x:c r="K425" s="39"/>
      <x:c r="L425" s="39"/>
      <x:c r="M425" s="39"/>
      <x:c r="N425" s="39"/>
      <x:c r="Q425" s="39"/>
      <x:c r="R425" s="39"/>
      <x:c r="S425" s="39"/>
      <x:c r="T425" s="39"/>
    </x:row>
    <x:row r="426">
      <x:c r="K426" s="39"/>
      <x:c r="L426" s="39"/>
      <x:c r="M426" s="39"/>
      <x:c r="N426" s="39"/>
      <x:c r="Q426" s="39"/>
      <x:c r="R426" s="39"/>
      <x:c r="S426" s="39"/>
      <x:c r="T426" s="39"/>
    </x:row>
    <x:row r="427">
      <x:c r="K427" s="39"/>
      <x:c r="L427" s="39"/>
      <x:c r="M427" s="39"/>
      <x:c r="N427" s="39"/>
      <x:c r="Q427" s="39"/>
      <x:c r="R427" s="39"/>
      <x:c r="S427" s="39"/>
      <x:c r="T427" s="39"/>
    </x:row>
    <x:row r="428">
      <x:c r="K428" s="39"/>
      <x:c r="L428" s="39"/>
      <x:c r="M428" s="39"/>
      <x:c r="N428" s="39"/>
      <x:c r="Q428" s="39"/>
      <x:c r="R428" s="39"/>
      <x:c r="S428" s="39"/>
      <x:c r="T428" s="39"/>
    </x:row>
    <x:row r="429">
      <x:c r="K429" s="39"/>
      <x:c r="L429" s="39"/>
      <x:c r="M429" s="39"/>
      <x:c r="N429" s="39"/>
      <x:c r="Q429" s="39"/>
      <x:c r="R429" s="39"/>
      <x:c r="S429" s="39"/>
      <x:c r="T429" s="39"/>
    </x:row>
    <x:row r="430">
      <x:c r="K430" s="39"/>
      <x:c r="L430" s="39"/>
      <x:c r="M430" s="39"/>
      <x:c r="N430" s="39"/>
      <x:c r="Q430" s="39"/>
      <x:c r="R430" s="39"/>
      <x:c r="S430" s="39"/>
      <x:c r="T430" s="39"/>
    </x:row>
    <x:row r="431">
      <x:c r="K431" s="39"/>
      <x:c r="L431" s="39"/>
      <x:c r="M431" s="39"/>
      <x:c r="N431" s="39"/>
      <x:c r="Q431" s="39"/>
      <x:c r="R431" s="39"/>
      <x:c r="S431" s="39"/>
      <x:c r="T431" s="39"/>
    </x:row>
    <x:row r="432">
      <x:c r="K432" s="39"/>
      <x:c r="L432" s="39"/>
      <x:c r="M432" s="39"/>
      <x:c r="N432" s="39"/>
      <x:c r="Q432" s="39"/>
      <x:c r="R432" s="39"/>
      <x:c r="S432" s="39"/>
      <x:c r="T432" s="39"/>
    </x:row>
    <x:row r="433">
      <x:c r="K433" s="39"/>
      <x:c r="L433" s="39"/>
      <x:c r="M433" s="39"/>
      <x:c r="N433" s="39"/>
      <x:c r="Q433" s="39"/>
      <x:c r="R433" s="39"/>
      <x:c r="S433" s="39"/>
      <x:c r="T433" s="39"/>
    </x:row>
    <x:row r="434">
      <x:c r="K434" s="39"/>
      <x:c r="L434" s="39"/>
      <x:c r="M434" s="39"/>
      <x:c r="N434" s="39"/>
      <x:c r="Q434" s="39"/>
      <x:c r="R434" s="39"/>
      <x:c r="S434" s="39"/>
      <x:c r="T434" s="39"/>
    </x:row>
    <x:row r="435">
      <x:c r="K435" s="39"/>
      <x:c r="L435" s="39"/>
      <x:c r="M435" s="39"/>
      <x:c r="N435" s="39"/>
      <x:c r="Q435" s="39"/>
      <x:c r="R435" s="39"/>
      <x:c r="S435" s="39"/>
      <x:c r="T435" s="39"/>
    </x:row>
    <x:row r="436">
      <x:c r="K436" s="39"/>
      <x:c r="L436" s="39"/>
      <x:c r="M436" s="39"/>
      <x:c r="N436" s="39"/>
      <x:c r="Q436" s="39"/>
      <x:c r="R436" s="39"/>
      <x:c r="S436" s="39"/>
      <x:c r="T436" s="39"/>
    </x:row>
    <x:row r="437">
      <x:c r="K437" s="39"/>
      <x:c r="L437" s="39"/>
      <x:c r="M437" s="39"/>
      <x:c r="N437" s="39"/>
      <x:c r="Q437" s="39"/>
      <x:c r="R437" s="39"/>
      <x:c r="S437" s="39"/>
      <x:c r="T437" s="39"/>
    </x:row>
    <x:row r="438">
      <x:c r="K438" s="39"/>
      <x:c r="L438" s="39"/>
      <x:c r="M438" s="39"/>
      <x:c r="N438" s="39"/>
      <x:c r="Q438" s="39"/>
      <x:c r="R438" s="39"/>
      <x:c r="S438" s="39"/>
      <x:c r="T438" s="39"/>
    </x:row>
    <x:row r="439">
      <x:c r="K439" s="39"/>
      <x:c r="L439" s="39"/>
      <x:c r="M439" s="39"/>
      <x:c r="N439" s="39"/>
      <x:c r="Q439" s="39"/>
      <x:c r="R439" s="39"/>
      <x:c r="S439" s="39"/>
      <x:c r="T439" s="39"/>
    </x:row>
    <x:row r="440">
      <x:c r="K440" s="39"/>
      <x:c r="L440" s="39"/>
      <x:c r="M440" s="39"/>
      <x:c r="N440" s="39"/>
      <x:c r="Q440" s="39"/>
      <x:c r="R440" s="39"/>
      <x:c r="S440" s="39"/>
      <x:c r="T440" s="39"/>
    </x:row>
    <x:row r="441">
      <x:c r="K441" s="39"/>
      <x:c r="L441" s="39"/>
      <x:c r="M441" s="39"/>
      <x:c r="N441" s="39"/>
      <x:c r="Q441" s="39"/>
      <x:c r="R441" s="39"/>
      <x:c r="S441" s="39"/>
      <x:c r="T441" s="39"/>
    </x:row>
    <x:row r="442">
      <x:c r="K442" s="39"/>
      <x:c r="L442" s="39"/>
      <x:c r="M442" s="39"/>
      <x:c r="N442" s="39"/>
      <x:c r="Q442" s="39"/>
      <x:c r="R442" s="39"/>
      <x:c r="S442" s="39"/>
      <x:c r="T442" s="39"/>
    </x:row>
    <x:row r="443">
      <x:c r="K443" s="39"/>
      <x:c r="L443" s="39"/>
      <x:c r="M443" s="39"/>
      <x:c r="N443" s="39"/>
      <x:c r="Q443" s="39"/>
      <x:c r="R443" s="39"/>
      <x:c r="S443" s="39"/>
      <x:c r="T443" s="39"/>
    </x:row>
    <x:row r="444">
      <x:c r="K444" s="39"/>
      <x:c r="L444" s="39"/>
      <x:c r="M444" s="39"/>
      <x:c r="N444" s="39"/>
      <x:c r="Q444" s="39"/>
      <x:c r="R444" s="39"/>
      <x:c r="S444" s="39"/>
      <x:c r="T444" s="39"/>
    </x:row>
    <x:row r="445">
      <x:c r="K445" s="39"/>
      <x:c r="L445" s="39"/>
      <x:c r="M445" s="39"/>
      <x:c r="N445" s="39"/>
      <x:c r="Q445" s="39"/>
      <x:c r="R445" s="39"/>
      <x:c r="S445" s="39"/>
      <x:c r="T445" s="39"/>
    </x:row>
    <x:row r="446">
      <x:c r="K446" s="39"/>
      <x:c r="L446" s="39"/>
      <x:c r="M446" s="39"/>
      <x:c r="N446" s="39"/>
      <x:c r="Q446" s="39"/>
      <x:c r="R446" s="39"/>
      <x:c r="S446" s="39"/>
      <x:c r="T446" s="39"/>
    </x:row>
    <x:row r="447">
      <x:c r="K447" s="39"/>
      <x:c r="L447" s="39"/>
      <x:c r="M447" s="39"/>
      <x:c r="N447" s="39"/>
      <x:c r="Q447" s="39"/>
      <x:c r="R447" s="39"/>
      <x:c r="S447" s="39"/>
      <x:c r="T447" s="39"/>
    </x:row>
    <x:row r="448">
      <x:c r="K448" s="39"/>
      <x:c r="L448" s="39"/>
      <x:c r="M448" s="39"/>
      <x:c r="N448" s="39"/>
      <x:c r="Q448" s="39"/>
      <x:c r="R448" s="39"/>
      <x:c r="S448" s="39"/>
      <x:c r="T448" s="39"/>
    </x:row>
    <x:row r="449">
      <x:c r="K449" s="39"/>
      <x:c r="L449" s="39"/>
      <x:c r="M449" s="39"/>
      <x:c r="N449" s="39"/>
      <x:c r="Q449" s="39"/>
      <x:c r="R449" s="39"/>
      <x:c r="S449" s="39"/>
      <x:c r="T449" s="39"/>
    </x:row>
    <x:row r="450">
      <x:c r="K450" s="39"/>
      <x:c r="L450" s="39"/>
      <x:c r="M450" s="39"/>
      <x:c r="N450" s="39"/>
      <x:c r="Q450" s="39"/>
      <x:c r="R450" s="39"/>
      <x:c r="S450" s="39"/>
      <x:c r="T450" s="39"/>
    </x:row>
    <x:row r="451">
      <x:c r="K451" s="39"/>
      <x:c r="L451" s="39"/>
      <x:c r="M451" s="39"/>
      <x:c r="N451" s="39"/>
      <x:c r="Q451" s="39"/>
      <x:c r="R451" s="39"/>
      <x:c r="S451" s="39"/>
      <x:c r="T451" s="39"/>
    </x:row>
    <x:row r="452">
      <x:c r="K452" s="39"/>
      <x:c r="L452" s="39"/>
      <x:c r="M452" s="39"/>
      <x:c r="N452" s="39"/>
      <x:c r="Q452" s="39"/>
      <x:c r="R452" s="39"/>
      <x:c r="S452" s="39"/>
      <x:c r="T452" s="39"/>
    </x:row>
    <x:row r="453">
      <x:c r="K453" s="39"/>
      <x:c r="L453" s="39"/>
      <x:c r="M453" s="39"/>
      <x:c r="N453" s="39"/>
      <x:c r="Q453" s="39"/>
      <x:c r="R453" s="39"/>
      <x:c r="S453" s="39"/>
      <x:c r="T453" s="39"/>
    </x:row>
    <x:row r="454">
      <x:c r="K454" s="39"/>
      <x:c r="L454" s="39"/>
      <x:c r="M454" s="39"/>
      <x:c r="N454" s="39"/>
      <x:c r="Q454" s="39"/>
      <x:c r="R454" s="39"/>
      <x:c r="S454" s="39"/>
      <x:c r="T454" s="39"/>
    </x:row>
    <x:row r="455">
      <x:c r="K455" s="39"/>
      <x:c r="L455" s="39"/>
      <x:c r="M455" s="39"/>
      <x:c r="N455" s="39"/>
      <x:c r="Q455" s="39"/>
      <x:c r="R455" s="39"/>
      <x:c r="S455" s="39"/>
      <x:c r="T455" s="39"/>
    </x:row>
    <x:row r="456">
      <x:c r="K456" s="39"/>
      <x:c r="L456" s="39"/>
      <x:c r="M456" s="39"/>
      <x:c r="N456" s="39"/>
      <x:c r="Q456" s="39"/>
      <x:c r="R456" s="39"/>
      <x:c r="S456" s="39"/>
      <x:c r="T456" s="39"/>
    </x:row>
    <x:row r="457">
      <x:c r="K457" s="39"/>
      <x:c r="L457" s="39"/>
      <x:c r="M457" s="39"/>
      <x:c r="N457" s="39"/>
      <x:c r="Q457" s="39"/>
      <x:c r="R457" s="39"/>
      <x:c r="S457" s="39"/>
      <x:c r="T457" s="39"/>
    </x:row>
    <x:row r="458">
      <x:c r="K458" s="39"/>
      <x:c r="L458" s="39"/>
      <x:c r="M458" s="39"/>
      <x:c r="N458" s="39"/>
      <x:c r="Q458" s="39"/>
      <x:c r="R458" s="39"/>
      <x:c r="S458" s="39"/>
      <x:c r="T458" s="39"/>
    </x:row>
    <x:row r="459">
      <x:c r="K459" s="39"/>
      <x:c r="L459" s="39"/>
      <x:c r="M459" s="39"/>
      <x:c r="N459" s="39"/>
      <x:c r="Q459" s="39"/>
      <x:c r="R459" s="39"/>
      <x:c r="S459" s="39"/>
      <x:c r="T459" s="39"/>
    </x:row>
    <x:row r="460">
      <x:c r="K460" s="39"/>
      <x:c r="L460" s="39"/>
      <x:c r="M460" s="39"/>
      <x:c r="N460" s="39"/>
      <x:c r="Q460" s="39"/>
      <x:c r="R460" s="39"/>
      <x:c r="S460" s="39"/>
      <x:c r="T460" s="39"/>
    </x:row>
    <x:row r="461">
      <x:c r="K461" s="39"/>
      <x:c r="L461" s="39"/>
      <x:c r="M461" s="39"/>
      <x:c r="N461" s="39"/>
      <x:c r="Q461" s="39"/>
      <x:c r="R461" s="39"/>
      <x:c r="S461" s="39"/>
      <x:c r="T461" s="39"/>
    </x:row>
    <x:row r="462">
      <x:c r="K462" s="39"/>
      <x:c r="L462" s="39"/>
      <x:c r="M462" s="39"/>
      <x:c r="N462" s="39"/>
      <x:c r="Q462" s="39"/>
      <x:c r="R462" s="39"/>
      <x:c r="S462" s="39"/>
      <x:c r="T462" s="39"/>
    </x:row>
    <x:row r="463">
      <x:c r="K463" s="39"/>
      <x:c r="L463" s="39"/>
      <x:c r="M463" s="39"/>
      <x:c r="N463" s="39"/>
      <x:c r="Q463" s="39"/>
      <x:c r="R463" s="39"/>
      <x:c r="S463" s="39"/>
      <x:c r="T463" s="39"/>
    </x:row>
    <x:row r="464">
      <x:c r="K464" s="39"/>
      <x:c r="L464" s="39"/>
      <x:c r="M464" s="39"/>
      <x:c r="N464" s="39"/>
      <x:c r="Q464" s="39"/>
      <x:c r="R464" s="39"/>
      <x:c r="S464" s="39"/>
      <x:c r="T464" s="39"/>
    </x:row>
    <x:row r="465">
      <x:c r="K465" s="39"/>
      <x:c r="L465" s="39"/>
      <x:c r="M465" s="39"/>
      <x:c r="N465" s="39"/>
      <x:c r="Q465" s="39"/>
      <x:c r="R465" s="39"/>
      <x:c r="S465" s="39"/>
      <x:c r="T465" s="39"/>
    </x:row>
    <x:row r="466">
      <x:c r="K466" s="39"/>
      <x:c r="L466" s="39"/>
      <x:c r="M466" s="39"/>
      <x:c r="N466" s="39"/>
      <x:c r="Q466" s="39"/>
      <x:c r="R466" s="39"/>
      <x:c r="S466" s="39"/>
      <x:c r="T466" s="39"/>
    </x:row>
    <x:row r="467">
      <x:c r="K467" s="39"/>
      <x:c r="L467" s="39"/>
      <x:c r="M467" s="39"/>
      <x:c r="N467" s="39"/>
      <x:c r="Q467" s="39"/>
      <x:c r="R467" s="39"/>
      <x:c r="S467" s="39"/>
      <x:c r="T467" s="39"/>
    </x:row>
    <x:row r="468">
      <x:c r="K468" s="39"/>
      <x:c r="L468" s="39"/>
      <x:c r="M468" s="39"/>
      <x:c r="N468" s="39"/>
      <x:c r="Q468" s="39"/>
      <x:c r="R468" s="39"/>
      <x:c r="S468" s="39"/>
      <x:c r="T468" s="39"/>
    </x:row>
    <x:row r="469">
      <x:c r="K469" s="39"/>
      <x:c r="L469" s="39"/>
      <x:c r="M469" s="39"/>
      <x:c r="N469" s="39"/>
      <x:c r="Q469" s="39"/>
      <x:c r="R469" s="39"/>
      <x:c r="S469" s="39"/>
      <x:c r="T469" s="39"/>
    </x:row>
    <x:row r="470">
      <x:c r="K470" s="39"/>
      <x:c r="L470" s="39"/>
      <x:c r="M470" s="39"/>
      <x:c r="N470" s="39"/>
      <x:c r="Q470" s="39"/>
      <x:c r="R470" s="39"/>
      <x:c r="S470" s="39"/>
      <x:c r="T470" s="39"/>
    </x:row>
    <x:row r="471">
      <x:c r="K471" s="39"/>
      <x:c r="L471" s="39"/>
      <x:c r="M471" s="39"/>
      <x:c r="N471" s="39"/>
      <x:c r="Q471" s="39"/>
      <x:c r="R471" s="39"/>
      <x:c r="S471" s="39"/>
      <x:c r="T471" s="39"/>
    </x:row>
    <x:row r="472">
      <x:c r="K472" s="39"/>
      <x:c r="L472" s="39"/>
      <x:c r="M472" s="39"/>
      <x:c r="N472" s="39"/>
      <x:c r="Q472" s="39"/>
      <x:c r="R472" s="39"/>
      <x:c r="S472" s="39"/>
      <x:c r="T472" s="39"/>
    </x:row>
    <x:row r="473">
      <x:c r="K473" s="39"/>
      <x:c r="L473" s="39"/>
      <x:c r="M473" s="39"/>
      <x:c r="N473" s="39"/>
      <x:c r="Q473" s="39"/>
      <x:c r="R473" s="39"/>
      <x:c r="S473" s="39"/>
      <x:c r="T473" s="39"/>
    </x:row>
    <x:row r="474">
      <x:c r="K474" s="39"/>
      <x:c r="L474" s="39"/>
      <x:c r="M474" s="39"/>
      <x:c r="N474" s="39"/>
      <x:c r="Q474" s="39"/>
      <x:c r="R474" s="39"/>
      <x:c r="S474" s="39"/>
      <x:c r="T474" s="39"/>
    </x:row>
    <x:row r="475">
      <x:c r="K475" s="39"/>
      <x:c r="L475" s="39"/>
      <x:c r="M475" s="39"/>
      <x:c r="N475" s="39"/>
      <x:c r="Q475" s="39"/>
      <x:c r="R475" s="39"/>
      <x:c r="S475" s="39"/>
      <x:c r="T475" s="39"/>
    </x:row>
    <x:row r="476">
      <x:c r="K476" s="39"/>
      <x:c r="L476" s="39"/>
      <x:c r="M476" s="39"/>
      <x:c r="N476" s="39"/>
      <x:c r="Q476" s="39"/>
      <x:c r="R476" s="39"/>
      <x:c r="S476" s="39"/>
      <x:c r="T476" s="39"/>
    </x:row>
    <x:row r="477">
      <x:c r="K477" s="39"/>
      <x:c r="L477" s="39"/>
      <x:c r="M477" s="39"/>
      <x:c r="N477" s="39"/>
      <x:c r="Q477" s="39"/>
      <x:c r="R477" s="39"/>
      <x:c r="S477" s="39"/>
      <x:c r="T477" s="39"/>
    </x:row>
    <x:row r="478">
      <x:c r="K478" s="39"/>
      <x:c r="L478" s="39"/>
      <x:c r="M478" s="39"/>
      <x:c r="N478" s="39"/>
      <x:c r="Q478" s="39"/>
      <x:c r="R478" s="39"/>
      <x:c r="S478" s="39"/>
      <x:c r="T478" s="39"/>
    </x:row>
    <x:row r="479">
      <x:c r="K479" s="39"/>
      <x:c r="L479" s="39"/>
      <x:c r="M479" s="39"/>
      <x:c r="N479" s="39"/>
      <x:c r="Q479" s="39"/>
      <x:c r="R479" s="39"/>
      <x:c r="S479" s="39"/>
      <x:c r="T479" s="39"/>
    </x:row>
    <x:row r="480">
      <x:c r="K480" s="39"/>
      <x:c r="L480" s="39"/>
      <x:c r="M480" s="39"/>
      <x:c r="N480" s="39"/>
      <x:c r="Q480" s="39"/>
      <x:c r="R480" s="39"/>
      <x:c r="S480" s="39"/>
      <x:c r="T480" s="39"/>
    </x:row>
    <x:row r="481">
      <x:c r="K481" s="39"/>
      <x:c r="L481" s="39"/>
      <x:c r="M481" s="39"/>
      <x:c r="N481" s="39"/>
      <x:c r="Q481" s="39"/>
      <x:c r="R481" s="39"/>
      <x:c r="S481" s="39"/>
      <x:c r="T481" s="39"/>
    </x:row>
    <x:row r="482">
      <x:c r="K482" s="39"/>
      <x:c r="L482" s="39"/>
      <x:c r="M482" s="39"/>
      <x:c r="N482" s="39"/>
      <x:c r="Q482" s="39"/>
      <x:c r="R482" s="39"/>
      <x:c r="S482" s="39"/>
      <x:c r="T482" s="39"/>
    </x:row>
    <x:row r="483">
      <x:c r="K483" s="39"/>
      <x:c r="L483" s="39"/>
      <x:c r="M483" s="39"/>
      <x:c r="N483" s="39"/>
      <x:c r="Q483" s="39"/>
      <x:c r="R483" s="39"/>
      <x:c r="S483" s="39"/>
      <x:c r="T483" s="39"/>
    </x:row>
    <x:row r="484">
      <x:c r="K484" s="39"/>
      <x:c r="L484" s="39"/>
      <x:c r="M484" s="39"/>
      <x:c r="N484" s="39"/>
      <x:c r="Q484" s="39"/>
      <x:c r="R484" s="39"/>
      <x:c r="S484" s="39"/>
      <x:c r="T484" s="39"/>
    </x:row>
    <x:row r="485">
      <x:c r="K485" s="39"/>
      <x:c r="L485" s="39"/>
      <x:c r="M485" s="39"/>
      <x:c r="N485" s="39"/>
      <x:c r="Q485" s="39"/>
      <x:c r="R485" s="39"/>
      <x:c r="S485" s="39"/>
      <x:c r="T485" s="39"/>
    </x:row>
    <x:row r="486">
      <x:c r="K486" s="39"/>
      <x:c r="L486" s="39"/>
      <x:c r="M486" s="39"/>
      <x:c r="N486" s="39"/>
      <x:c r="Q486" s="39"/>
      <x:c r="R486" s="39"/>
      <x:c r="S486" s="39"/>
      <x:c r="T486" s="39"/>
    </x:row>
    <x:row r="487">
      <x:c r="K487" s="39"/>
      <x:c r="L487" s="39"/>
      <x:c r="M487" s="39"/>
      <x:c r="N487" s="39"/>
      <x:c r="Q487" s="39"/>
      <x:c r="R487" s="39"/>
      <x:c r="S487" s="39"/>
      <x:c r="T487" s="39"/>
    </x:row>
    <x:row r="488">
      <x:c r="K488" s="39"/>
      <x:c r="L488" s="39"/>
      <x:c r="M488" s="39"/>
      <x:c r="N488" s="39"/>
      <x:c r="Q488" s="39"/>
      <x:c r="R488" s="39"/>
      <x:c r="S488" s="39"/>
      <x:c r="T488" s="39"/>
    </x:row>
    <x:row r="489">
      <x:c r="K489" s="39"/>
      <x:c r="L489" s="39"/>
      <x:c r="M489" s="39"/>
      <x:c r="N489" s="39"/>
      <x:c r="Q489" s="39"/>
      <x:c r="R489" s="39"/>
      <x:c r="S489" s="39"/>
      <x:c r="T489" s="39"/>
    </x:row>
    <x:row r="490">
      <x:c r="K490" s="39"/>
      <x:c r="L490" s="39"/>
      <x:c r="M490" s="39"/>
      <x:c r="N490" s="39"/>
      <x:c r="Q490" s="39"/>
      <x:c r="R490" s="39"/>
      <x:c r="S490" s="39"/>
      <x:c r="T490" s="39"/>
    </x:row>
    <x:row r="491">
      <x:c r="K491" s="39"/>
      <x:c r="L491" s="39"/>
      <x:c r="M491" s="39"/>
      <x:c r="N491" s="39"/>
      <x:c r="Q491" s="39"/>
      <x:c r="R491" s="39"/>
      <x:c r="S491" s="39"/>
      <x:c r="T491" s="39"/>
    </x:row>
    <x:row r="492">
      <x:c r="K492" s="39"/>
      <x:c r="L492" s="39"/>
      <x:c r="M492" s="39"/>
      <x:c r="N492" s="39"/>
      <x:c r="Q492" s="39"/>
      <x:c r="R492" s="39"/>
      <x:c r="S492" s="39"/>
      <x:c r="T492" s="39"/>
    </x:row>
    <x:row r="493">
      <x:c r="K493" s="39"/>
      <x:c r="L493" s="39"/>
      <x:c r="M493" s="39"/>
      <x:c r="N493" s="39"/>
      <x:c r="Q493" s="39"/>
      <x:c r="R493" s="39"/>
      <x:c r="S493" s="39"/>
      <x:c r="T493" s="39"/>
    </x:row>
    <x:row r="494">
      <x:c r="K494" s="39"/>
      <x:c r="L494" s="39"/>
      <x:c r="M494" s="39"/>
      <x:c r="N494" s="39"/>
      <x:c r="Q494" s="39"/>
      <x:c r="R494" s="39"/>
      <x:c r="S494" s="39"/>
      <x:c r="T494" s="39"/>
    </x:row>
    <x:row r="495">
      <x:c r="K495" s="39"/>
      <x:c r="L495" s="39"/>
      <x:c r="M495" s="39"/>
      <x:c r="N495" s="39"/>
      <x:c r="Q495" s="39"/>
      <x:c r="R495" s="39"/>
      <x:c r="S495" s="39"/>
      <x:c r="T495" s="39"/>
    </x:row>
    <x:row r="496">
      <x:c r="K496" s="39"/>
      <x:c r="L496" s="39"/>
      <x:c r="M496" s="39"/>
      <x:c r="N496" s="39"/>
      <x:c r="Q496" s="39"/>
      <x:c r="R496" s="39"/>
      <x:c r="S496" s="39"/>
      <x:c r="T496" s="39"/>
    </x:row>
    <x:row r="497">
      <x:c r="K497" s="39"/>
      <x:c r="L497" s="39"/>
      <x:c r="M497" s="39"/>
      <x:c r="N497" s="39"/>
      <x:c r="Q497" s="39"/>
      <x:c r="R497" s="39"/>
      <x:c r="S497" s="39"/>
      <x:c r="T497" s="39"/>
    </x:row>
    <x:row r="498">
      <x:c r="K498" s="39"/>
      <x:c r="L498" s="39"/>
      <x:c r="M498" s="39"/>
      <x:c r="N498" s="39"/>
      <x:c r="Q498" s="39"/>
      <x:c r="R498" s="39"/>
      <x:c r="S498" s="39"/>
      <x:c r="T498" s="39"/>
    </x:row>
    <x:row r="499">
      <x:c r="K499" s="39"/>
      <x:c r="L499" s="39"/>
      <x:c r="M499" s="39"/>
      <x:c r="N499" s="39"/>
      <x:c r="Q499" s="39"/>
      <x:c r="R499" s="39"/>
      <x:c r="S499" s="39"/>
      <x:c r="T499" s="39"/>
    </x:row>
    <x:row r="500">
      <x:c r="K500" s="39"/>
      <x:c r="L500" s="39"/>
      <x:c r="M500" s="39"/>
      <x:c r="N500" s="39"/>
      <x:c r="Q500" s="39"/>
      <x:c r="R500" s="39"/>
      <x:c r="S500" s="39"/>
      <x:c r="T500" s="39"/>
    </x:row>
    <x:row r="501">
      <x:c r="K501" s="39"/>
      <x:c r="L501" s="39"/>
      <x:c r="M501" s="39"/>
      <x:c r="N501" s="39"/>
      <x:c r="Q501" s="39"/>
      <x:c r="R501" s="39"/>
      <x:c r="S501" s="39"/>
      <x:c r="T501" s="39"/>
    </x:row>
    <x:row r="502">
      <x:c r="K502" s="39"/>
      <x:c r="L502" s="39"/>
      <x:c r="M502" s="39"/>
      <x:c r="N502" s="39"/>
      <x:c r="Q502" s="39"/>
      <x:c r="R502" s="39"/>
      <x:c r="S502" s="39"/>
      <x:c r="T502" s="39"/>
    </x:row>
    <x:row r="503">
      <x:c r="K503" s="39"/>
      <x:c r="L503" s="39"/>
      <x:c r="M503" s="39"/>
      <x:c r="N503" s="39"/>
      <x:c r="Q503" s="39"/>
      <x:c r="R503" s="39"/>
      <x:c r="S503" s="39"/>
      <x:c r="T503" s="39"/>
    </x:row>
    <x:row r="504">
      <x:c r="K504" s="39"/>
      <x:c r="L504" s="39"/>
      <x:c r="M504" s="39"/>
      <x:c r="N504" s="39"/>
      <x:c r="Q504" s="39"/>
      <x:c r="R504" s="39"/>
      <x:c r="S504" s="39"/>
      <x:c r="T504" s="39"/>
    </x:row>
    <x:row r="505">
      <x:c r="K505" s="39"/>
      <x:c r="L505" s="39"/>
      <x:c r="M505" s="39"/>
      <x:c r="N505" s="39"/>
      <x:c r="Q505" s="39"/>
      <x:c r="R505" s="39"/>
      <x:c r="S505" s="39"/>
      <x:c r="T505" s="39"/>
    </x:row>
    <x:row r="506">
      <x:c r="K506" s="39"/>
      <x:c r="L506" s="39"/>
      <x:c r="M506" s="39"/>
      <x:c r="N506" s="39"/>
      <x:c r="Q506" s="39"/>
      <x:c r="R506" s="39"/>
      <x:c r="S506" s="39"/>
      <x:c r="T506" s="39"/>
    </x:row>
    <x:row r="507">
      <x:c r="K507" s="39"/>
      <x:c r="L507" s="39"/>
      <x:c r="M507" s="39"/>
      <x:c r="N507" s="39"/>
      <x:c r="Q507" s="39"/>
      <x:c r="R507" s="39"/>
      <x:c r="S507" s="39"/>
      <x:c r="T507" s="39"/>
    </x:row>
    <x:row r="508">
      <x:c r="K508" s="39"/>
      <x:c r="L508" s="39"/>
      <x:c r="M508" s="39"/>
      <x:c r="N508" s="39"/>
      <x:c r="Q508" s="39"/>
      <x:c r="R508" s="39"/>
      <x:c r="S508" s="39"/>
      <x:c r="T508" s="39"/>
    </x:row>
    <x:row r="509">
      <x:c r="K509" s="39"/>
      <x:c r="L509" s="39"/>
      <x:c r="M509" s="39"/>
      <x:c r="N509" s="39"/>
      <x:c r="Q509" s="39"/>
      <x:c r="R509" s="39"/>
      <x:c r="S509" s="39"/>
      <x:c r="T509" s="39"/>
    </x:row>
    <x:row r="510">
      <x:c r="K510" s="39"/>
      <x:c r="L510" s="39"/>
      <x:c r="M510" s="39"/>
      <x:c r="N510" s="39"/>
      <x:c r="Q510" s="39"/>
      <x:c r="R510" s="39"/>
      <x:c r="S510" s="39"/>
      <x:c r="T510" s="39"/>
    </x:row>
    <x:row r="511">
      <x:c r="K511" s="39"/>
      <x:c r="L511" s="39"/>
      <x:c r="M511" s="39"/>
      <x:c r="N511" s="39"/>
      <x:c r="Q511" s="39"/>
      <x:c r="R511" s="39"/>
      <x:c r="S511" s="39"/>
      <x:c r="T511" s="39"/>
    </x:row>
    <x:row r="512">
      <x:c r="K512" s="39"/>
      <x:c r="L512" s="39"/>
      <x:c r="M512" s="39"/>
      <x:c r="N512" s="39"/>
      <x:c r="Q512" s="39"/>
      <x:c r="R512" s="39"/>
      <x:c r="S512" s="39"/>
      <x:c r="T512" s="39"/>
    </x:row>
    <x:row r="513">
      <x:c r="K513" s="39"/>
      <x:c r="L513" s="39"/>
      <x:c r="M513" s="39"/>
      <x:c r="N513" s="39"/>
      <x:c r="Q513" s="39"/>
      <x:c r="R513" s="39"/>
      <x:c r="S513" s="39"/>
      <x:c r="T513" s="39"/>
    </x:row>
    <x:row r="514">
      <x:c r="K514" s="39"/>
      <x:c r="L514" s="39"/>
      <x:c r="M514" s="39"/>
      <x:c r="N514" s="39"/>
      <x:c r="Q514" s="39"/>
      <x:c r="R514" s="39"/>
      <x:c r="S514" s="39"/>
      <x:c r="T514" s="39"/>
    </x:row>
    <x:row r="515">
      <x:c r="K515" s="39"/>
      <x:c r="L515" s="39"/>
      <x:c r="M515" s="39"/>
      <x:c r="N515" s="39"/>
      <x:c r="Q515" s="39"/>
      <x:c r="R515" s="39"/>
      <x:c r="S515" s="39"/>
      <x:c r="T515" s="39"/>
    </x:row>
    <x:row r="516">
      <x:c r="K516" s="39"/>
      <x:c r="L516" s="39"/>
      <x:c r="M516" s="39"/>
      <x:c r="N516" s="39"/>
      <x:c r="Q516" s="39"/>
      <x:c r="R516" s="39"/>
      <x:c r="S516" s="39"/>
      <x:c r="T516" s="39"/>
    </x:row>
    <x:row r="517">
      <x:c r="K517" s="39"/>
      <x:c r="L517" s="39"/>
      <x:c r="M517" s="39"/>
      <x:c r="N517" s="39"/>
      <x:c r="Q517" s="39"/>
      <x:c r="R517" s="39"/>
      <x:c r="S517" s="39"/>
      <x:c r="T517" s="39"/>
    </x:row>
    <x:row r="518">
      <x:c r="K518" s="39"/>
      <x:c r="L518" s="39"/>
      <x:c r="M518" s="39"/>
      <x:c r="N518" s="39"/>
      <x:c r="Q518" s="39"/>
      <x:c r="R518" s="39"/>
      <x:c r="S518" s="39"/>
      <x:c r="T518" s="39"/>
    </x:row>
    <x:row r="519">
      <x:c r="K519" s="39"/>
      <x:c r="L519" s="39"/>
      <x:c r="M519" s="39"/>
      <x:c r="N519" s="39"/>
      <x:c r="Q519" s="39"/>
      <x:c r="R519" s="39"/>
      <x:c r="S519" s="39"/>
      <x:c r="T519" s="39"/>
    </x:row>
    <x:row r="520">
      <x:c r="K520" s="39"/>
      <x:c r="L520" s="39"/>
      <x:c r="M520" s="39"/>
      <x:c r="N520" s="39"/>
      <x:c r="Q520" s="39"/>
      <x:c r="R520" s="39"/>
      <x:c r="S520" s="39"/>
      <x:c r="T520" s="39"/>
    </x:row>
    <x:row r="521">
      <x:c r="K521" s="39"/>
      <x:c r="L521" s="39"/>
      <x:c r="M521" s="39"/>
      <x:c r="N521" s="39"/>
      <x:c r="Q521" s="39"/>
      <x:c r="R521" s="39"/>
      <x:c r="S521" s="39"/>
      <x:c r="T521" s="39"/>
    </x:row>
    <x:row r="522">
      <x:c r="K522" s="39"/>
      <x:c r="L522" s="39"/>
      <x:c r="M522" s="39"/>
      <x:c r="N522" s="39"/>
      <x:c r="Q522" s="39"/>
      <x:c r="R522" s="39"/>
      <x:c r="S522" s="39"/>
      <x:c r="T522" s="39"/>
    </x:row>
    <x:row r="523">
      <x:c r="K523" s="39"/>
      <x:c r="L523" s="39"/>
      <x:c r="M523" s="39"/>
      <x:c r="N523" s="39"/>
      <x:c r="Q523" s="39"/>
      <x:c r="R523" s="39"/>
      <x:c r="S523" s="39"/>
      <x:c r="T523" s="39"/>
    </x:row>
    <x:row r="524">
      <x:c r="K524" s="39"/>
      <x:c r="L524" s="39"/>
      <x:c r="M524" s="39"/>
      <x:c r="N524" s="39"/>
      <x:c r="Q524" s="39"/>
      <x:c r="R524" s="39"/>
      <x:c r="S524" s="39"/>
      <x:c r="T524" s="39"/>
    </x:row>
    <x:row r="525">
      <x:c r="K525" s="39"/>
      <x:c r="L525" s="39"/>
      <x:c r="M525" s="39"/>
      <x:c r="N525" s="39"/>
      <x:c r="Q525" s="39"/>
      <x:c r="R525" s="39"/>
      <x:c r="S525" s="39"/>
      <x:c r="T525" s="39"/>
    </x:row>
    <x:row r="526">
      <x:c r="K526" s="39"/>
      <x:c r="L526" s="39"/>
      <x:c r="M526" s="39"/>
      <x:c r="N526" s="39"/>
      <x:c r="Q526" s="39"/>
      <x:c r="R526" s="39"/>
      <x:c r="S526" s="39"/>
      <x:c r="T526" s="39"/>
    </x:row>
    <x:row r="527">
      <x:c r="K527" s="39"/>
      <x:c r="L527" s="39"/>
      <x:c r="M527" s="39"/>
      <x:c r="N527" s="39"/>
      <x:c r="Q527" s="39"/>
      <x:c r="R527" s="39"/>
      <x:c r="S527" s="39"/>
      <x:c r="T527" s="39"/>
    </x:row>
    <x:row r="528">
      <x:c r="K528" s="39"/>
      <x:c r="L528" s="39"/>
      <x:c r="M528" s="39"/>
      <x:c r="N528" s="39"/>
      <x:c r="Q528" s="39"/>
      <x:c r="R528" s="39"/>
      <x:c r="S528" s="39"/>
      <x:c r="T528" s="39"/>
    </x:row>
    <x:row r="529">
      <x:c r="K529" s="39"/>
      <x:c r="L529" s="39"/>
      <x:c r="M529" s="39"/>
      <x:c r="N529" s="39"/>
      <x:c r="Q529" s="39"/>
      <x:c r="R529" s="39"/>
      <x:c r="S529" s="39"/>
      <x:c r="T529" s="39"/>
    </x:row>
    <x:row r="530">
      <x:c r="K530" s="39"/>
      <x:c r="L530" s="39"/>
      <x:c r="M530" s="39"/>
      <x:c r="N530" s="39"/>
      <x:c r="Q530" s="39"/>
      <x:c r="R530" s="39"/>
      <x:c r="S530" s="39"/>
      <x:c r="T530" s="39"/>
    </x:row>
    <x:row r="531">
      <x:c r="K531" s="39"/>
      <x:c r="L531" s="39"/>
      <x:c r="M531" s="39"/>
      <x:c r="N531" s="39"/>
      <x:c r="Q531" s="39"/>
      <x:c r="R531" s="39"/>
      <x:c r="S531" s="39"/>
      <x:c r="T531" s="39"/>
    </x:row>
    <x:row r="532">
      <x:c r="K532" s="39"/>
      <x:c r="L532" s="39"/>
      <x:c r="M532" s="39"/>
      <x:c r="N532" s="39"/>
      <x:c r="Q532" s="39"/>
      <x:c r="R532" s="39"/>
      <x:c r="S532" s="39"/>
      <x:c r="T532" s="39"/>
    </x:row>
    <x:row r="533">
      <x:c r="K533" s="39"/>
      <x:c r="L533" s="39"/>
      <x:c r="M533" s="39"/>
      <x:c r="N533" s="39"/>
      <x:c r="Q533" s="39"/>
      <x:c r="R533" s="39"/>
      <x:c r="S533" s="39"/>
      <x:c r="T533" s="39"/>
    </x:row>
    <x:row r="534">
      <x:c r="K534" s="39"/>
      <x:c r="L534" s="39"/>
      <x:c r="M534" s="39"/>
      <x:c r="N534" s="39"/>
      <x:c r="Q534" s="39"/>
      <x:c r="R534" s="39"/>
      <x:c r="S534" s="39"/>
      <x:c r="T534" s="39"/>
    </x:row>
    <x:row r="535">
      <x:c r="K535" s="39"/>
      <x:c r="L535" s="39"/>
      <x:c r="M535" s="39"/>
      <x:c r="N535" s="39"/>
      <x:c r="Q535" s="39"/>
      <x:c r="R535" s="39"/>
      <x:c r="S535" s="39"/>
      <x:c r="T535" s="39"/>
    </x:row>
    <x:row r="536">
      <x:c r="K536" s="39"/>
      <x:c r="L536" s="39"/>
      <x:c r="M536" s="39"/>
      <x:c r="N536" s="39"/>
      <x:c r="Q536" s="39"/>
      <x:c r="R536" s="39"/>
      <x:c r="S536" s="39"/>
      <x:c r="T536" s="39"/>
    </x:row>
    <x:row r="537">
      <x:c r="K537" s="39"/>
      <x:c r="L537" s="39"/>
      <x:c r="M537" s="39"/>
      <x:c r="N537" s="39"/>
      <x:c r="Q537" s="39"/>
      <x:c r="R537" s="39"/>
      <x:c r="S537" s="39"/>
      <x:c r="T537" s="39"/>
    </x:row>
    <x:row r="538">
      <x:c r="K538" s="39"/>
      <x:c r="L538" s="39"/>
      <x:c r="M538" s="39"/>
      <x:c r="N538" s="39"/>
      <x:c r="Q538" s="39"/>
      <x:c r="R538" s="39"/>
      <x:c r="S538" s="39"/>
      <x:c r="T538" s="39"/>
    </x:row>
    <x:row r="539">
      <x:c r="K539" s="39"/>
      <x:c r="L539" s="39"/>
      <x:c r="M539" s="39"/>
      <x:c r="N539" s="39"/>
      <x:c r="Q539" s="39"/>
      <x:c r="R539" s="39"/>
      <x:c r="S539" s="39"/>
      <x:c r="T539" s="39"/>
    </x:row>
    <x:row r="540">
      <x:c r="K540" s="39"/>
      <x:c r="L540" s="39"/>
      <x:c r="M540" s="39"/>
      <x:c r="N540" s="39"/>
      <x:c r="Q540" s="39"/>
      <x:c r="R540" s="39"/>
      <x:c r="S540" s="39"/>
      <x:c r="T540" s="39"/>
    </x:row>
    <x:row r="541">
      <x:c r="K541" s="39"/>
      <x:c r="L541" s="39"/>
      <x:c r="M541" s="39"/>
      <x:c r="N541" s="39"/>
      <x:c r="Q541" s="39"/>
      <x:c r="R541" s="39"/>
      <x:c r="S541" s="39"/>
      <x:c r="T541" s="39"/>
    </x:row>
    <x:row r="542">
      <x:c r="K542" s="39"/>
      <x:c r="L542" s="39"/>
      <x:c r="M542" s="39"/>
      <x:c r="N542" s="39"/>
      <x:c r="Q542" s="39"/>
      <x:c r="R542" s="39"/>
      <x:c r="S542" s="39"/>
      <x:c r="T542" s="39"/>
    </x:row>
    <x:row r="543">
      <x:c r="K543" s="39"/>
      <x:c r="L543" s="39"/>
      <x:c r="M543" s="39"/>
      <x:c r="N543" s="39"/>
      <x:c r="Q543" s="39"/>
      <x:c r="R543" s="39"/>
      <x:c r="S543" s="39"/>
      <x:c r="T543" s="39"/>
    </x:row>
    <x:row r="544">
      <x:c r="K544" s="39"/>
      <x:c r="L544" s="39"/>
      <x:c r="M544" s="39"/>
      <x:c r="N544" s="39"/>
      <x:c r="Q544" s="39"/>
      <x:c r="R544" s="39"/>
      <x:c r="S544" s="39"/>
      <x:c r="T544" s="39"/>
    </x:row>
    <x:row r="545">
      <x:c r="K545" s="39"/>
      <x:c r="L545" s="39"/>
      <x:c r="M545" s="39"/>
      <x:c r="N545" s="39"/>
      <x:c r="Q545" s="39"/>
      <x:c r="R545" s="39"/>
      <x:c r="S545" s="39"/>
      <x:c r="T545" s="39"/>
    </x:row>
    <x:row r="546">
      <x:c r="K546" s="39"/>
      <x:c r="L546" s="39"/>
      <x:c r="M546" s="39"/>
      <x:c r="N546" s="39"/>
      <x:c r="Q546" s="39"/>
      <x:c r="R546" s="39"/>
      <x:c r="S546" s="39"/>
      <x:c r="T546" s="39"/>
    </x:row>
    <x:row r="547">
      <x:c r="K547" s="39"/>
      <x:c r="L547" s="39"/>
      <x:c r="M547" s="39"/>
      <x:c r="N547" s="39"/>
      <x:c r="Q547" s="39"/>
      <x:c r="R547" s="39"/>
      <x:c r="S547" s="39"/>
      <x:c r="T547" s="39"/>
    </x:row>
    <x:row r="548">
      <x:c r="K548" s="39"/>
      <x:c r="L548" s="39"/>
      <x:c r="M548" s="39"/>
      <x:c r="N548" s="39"/>
      <x:c r="Q548" s="39"/>
      <x:c r="R548" s="39"/>
      <x:c r="S548" s="39"/>
      <x:c r="T548" s="39"/>
    </x:row>
    <x:row r="549">
      <x:c r="K549" s="39"/>
      <x:c r="L549" s="39"/>
      <x:c r="M549" s="39"/>
      <x:c r="N549" s="39"/>
      <x:c r="Q549" s="39"/>
      <x:c r="R549" s="39"/>
      <x:c r="S549" s="39"/>
      <x:c r="T549" s="39"/>
    </x:row>
    <x:row r="550">
      <x:c r="K550" s="39"/>
      <x:c r="L550" s="39"/>
      <x:c r="M550" s="39"/>
      <x:c r="N550" s="39"/>
      <x:c r="Q550" s="39"/>
      <x:c r="R550" s="39"/>
      <x:c r="S550" s="39"/>
      <x:c r="T550" s="39"/>
    </x:row>
    <x:row r="551">
      <x:c r="K551" s="39"/>
      <x:c r="L551" s="39"/>
      <x:c r="M551" s="39"/>
      <x:c r="N551" s="39"/>
      <x:c r="Q551" s="39"/>
      <x:c r="R551" s="39"/>
      <x:c r="S551" s="39"/>
      <x:c r="T551" s="39"/>
    </x:row>
    <x:row r="552">
      <x:c r="K552" s="39"/>
      <x:c r="L552" s="39"/>
      <x:c r="M552" s="39"/>
      <x:c r="N552" s="39"/>
      <x:c r="Q552" s="39"/>
      <x:c r="R552" s="39"/>
      <x:c r="S552" s="39"/>
      <x:c r="T552" s="39"/>
    </x:row>
    <x:row r="553">
      <x:c r="K553" s="39"/>
      <x:c r="L553" s="39"/>
      <x:c r="M553" s="39"/>
      <x:c r="N553" s="39"/>
      <x:c r="Q553" s="39"/>
      <x:c r="R553" s="39"/>
      <x:c r="S553" s="39"/>
      <x:c r="T553" s="39"/>
    </x:row>
    <x:row r="554">
      <x:c r="K554" s="39"/>
      <x:c r="L554" s="39"/>
      <x:c r="M554" s="39"/>
      <x:c r="N554" s="39"/>
      <x:c r="Q554" s="39"/>
      <x:c r="R554" s="39"/>
      <x:c r="S554" s="39"/>
      <x:c r="T554" s="39"/>
    </x:row>
    <x:row r="555">
      <x:c r="K555" s="39"/>
      <x:c r="L555" s="39"/>
      <x:c r="M555" s="39"/>
      <x:c r="N555" s="39"/>
      <x:c r="Q555" s="39"/>
      <x:c r="R555" s="39"/>
      <x:c r="S555" s="39"/>
      <x:c r="T555" s="39"/>
    </x:row>
    <x:row r="556">
      <x:c r="K556" s="39"/>
      <x:c r="L556" s="39"/>
      <x:c r="M556" s="39"/>
      <x:c r="N556" s="39"/>
      <x:c r="Q556" s="39"/>
      <x:c r="R556" s="39"/>
      <x:c r="S556" s="39"/>
      <x:c r="T556" s="39"/>
    </x:row>
    <x:row r="557">
      <x:c r="K557" s="39"/>
      <x:c r="L557" s="39"/>
      <x:c r="M557" s="39"/>
      <x:c r="N557" s="39"/>
      <x:c r="Q557" s="39"/>
      <x:c r="R557" s="39"/>
      <x:c r="S557" s="39"/>
      <x:c r="T557" s="39"/>
    </x:row>
    <x:row r="558">
      <x:c r="K558" s="39"/>
      <x:c r="L558" s="39"/>
      <x:c r="M558" s="39"/>
      <x:c r="N558" s="39"/>
      <x:c r="Q558" s="39"/>
      <x:c r="R558" s="39"/>
      <x:c r="S558" s="39"/>
      <x:c r="T558" s="39"/>
    </x:row>
    <x:row r="559">
      <x:c r="K559" s="39"/>
      <x:c r="L559" s="39"/>
      <x:c r="M559" s="39"/>
      <x:c r="N559" s="39"/>
      <x:c r="Q559" s="39"/>
      <x:c r="R559" s="39"/>
      <x:c r="S559" s="39"/>
      <x:c r="T559" s="39"/>
    </x:row>
    <x:row r="560">
      <x:c r="K560" s="39"/>
      <x:c r="L560" s="39"/>
      <x:c r="M560" s="39"/>
      <x:c r="N560" s="39"/>
      <x:c r="Q560" s="39"/>
      <x:c r="R560" s="39"/>
      <x:c r="S560" s="39"/>
      <x:c r="T560" s="39"/>
    </x:row>
    <x:row r="561">
      <x:c r="K561" s="39"/>
      <x:c r="L561" s="39"/>
      <x:c r="M561" s="39"/>
      <x:c r="N561" s="39"/>
      <x:c r="Q561" s="39"/>
      <x:c r="R561" s="39"/>
      <x:c r="S561" s="39"/>
      <x:c r="T561" s="39"/>
    </x:row>
    <x:row r="562">
      <x:c r="K562" s="39"/>
      <x:c r="L562" s="39"/>
      <x:c r="M562" s="39"/>
      <x:c r="N562" s="39"/>
      <x:c r="Q562" s="39"/>
      <x:c r="R562" s="39"/>
      <x:c r="S562" s="39"/>
      <x:c r="T562" s="39"/>
    </x:row>
    <x:row r="563">
      <x:c r="K563" s="39"/>
      <x:c r="L563" s="39"/>
      <x:c r="M563" s="39"/>
      <x:c r="N563" s="39"/>
      <x:c r="Q563" s="39"/>
      <x:c r="R563" s="39"/>
      <x:c r="S563" s="39"/>
      <x:c r="T563" s="39"/>
    </x:row>
    <x:row r="564">
      <x:c r="K564" s="39"/>
      <x:c r="L564" s="39"/>
      <x:c r="M564" s="39"/>
      <x:c r="N564" s="39"/>
      <x:c r="Q564" s="39"/>
      <x:c r="R564" s="39"/>
      <x:c r="S564" s="39"/>
      <x:c r="T564" s="39"/>
    </x:row>
    <x:row r="565">
      <x:c r="K565" s="39"/>
      <x:c r="L565" s="39"/>
      <x:c r="M565" s="39"/>
      <x:c r="N565" s="39"/>
      <x:c r="Q565" s="39"/>
      <x:c r="R565" s="39"/>
      <x:c r="S565" s="39"/>
      <x:c r="T565" s="39"/>
    </x:row>
    <x:row r="566">
      <x:c r="K566" s="39"/>
      <x:c r="L566" s="39"/>
      <x:c r="M566" s="39"/>
      <x:c r="N566" s="39"/>
      <x:c r="Q566" s="39"/>
      <x:c r="R566" s="39"/>
      <x:c r="S566" s="39"/>
      <x:c r="T566" s="39"/>
    </x:row>
    <x:row r="567">
      <x:c r="K567" s="39"/>
      <x:c r="L567" s="39"/>
      <x:c r="M567" s="39"/>
      <x:c r="N567" s="39"/>
      <x:c r="Q567" s="39"/>
      <x:c r="R567" s="39"/>
      <x:c r="S567" s="39"/>
      <x:c r="T567" s="39"/>
    </x:row>
    <x:row r="568">
      <x:c r="K568" s="39"/>
      <x:c r="L568" s="39"/>
      <x:c r="M568" s="39"/>
      <x:c r="N568" s="39"/>
      <x:c r="Q568" s="39"/>
      <x:c r="R568" s="39"/>
      <x:c r="S568" s="39"/>
      <x:c r="T568" s="39"/>
    </x:row>
    <x:row r="569">
      <x:c r="K569" s="39"/>
      <x:c r="L569" s="39"/>
      <x:c r="M569" s="39"/>
      <x:c r="N569" s="39"/>
      <x:c r="Q569" s="39"/>
      <x:c r="R569" s="39"/>
      <x:c r="S569" s="39"/>
      <x:c r="T569" s="39"/>
    </x:row>
    <x:row r="570">
      <x:c r="K570" s="39"/>
      <x:c r="L570" s="39"/>
      <x:c r="M570" s="39"/>
      <x:c r="N570" s="39"/>
      <x:c r="Q570" s="39"/>
      <x:c r="R570" s="39"/>
      <x:c r="S570" s="39"/>
      <x:c r="T570" s="39"/>
    </x:row>
    <x:row r="571">
      <x:c r="K571" s="39"/>
      <x:c r="L571" s="39"/>
      <x:c r="M571" s="39"/>
      <x:c r="N571" s="39"/>
      <x:c r="Q571" s="39"/>
      <x:c r="R571" s="39"/>
      <x:c r="S571" s="39"/>
      <x:c r="T571" s="39"/>
    </x:row>
    <x:row r="572">
      <x:c r="K572" s="39"/>
      <x:c r="L572" s="39"/>
      <x:c r="M572" s="39"/>
      <x:c r="N572" s="39"/>
      <x:c r="Q572" s="39"/>
      <x:c r="R572" s="39"/>
      <x:c r="S572" s="39"/>
      <x:c r="T572" s="39"/>
    </x:row>
    <x:row r="573">
      <x:c r="K573" s="39"/>
      <x:c r="L573" s="39"/>
      <x:c r="M573" s="39"/>
      <x:c r="N573" s="39"/>
      <x:c r="Q573" s="39"/>
      <x:c r="R573" s="39"/>
      <x:c r="S573" s="39"/>
      <x:c r="T573" s="39"/>
    </x:row>
    <x:row r="574">
      <x:c r="K574" s="39"/>
      <x:c r="L574" s="39"/>
      <x:c r="M574" s="39"/>
      <x:c r="N574" s="39"/>
      <x:c r="Q574" s="39"/>
      <x:c r="R574" s="39"/>
      <x:c r="S574" s="39"/>
      <x:c r="T574" s="39"/>
    </x:row>
    <x:row r="575">
      <x:c r="K575" s="39"/>
      <x:c r="L575" s="39"/>
      <x:c r="M575" s="39"/>
      <x:c r="N575" s="39"/>
      <x:c r="Q575" s="39"/>
      <x:c r="R575" s="39"/>
      <x:c r="S575" s="39"/>
      <x:c r="T575" s="39"/>
    </x:row>
    <x:row r="576">
      <x:c r="K576" s="39"/>
      <x:c r="L576" s="39"/>
      <x:c r="M576" s="39"/>
      <x:c r="N576" s="39"/>
      <x:c r="Q576" s="39"/>
      <x:c r="R576" s="39"/>
      <x:c r="S576" s="39"/>
      <x:c r="T576" s="39"/>
    </x:row>
    <x:row r="577">
      <x:c r="K577" s="39"/>
      <x:c r="L577" s="39"/>
      <x:c r="M577" s="39"/>
      <x:c r="N577" s="39"/>
      <x:c r="Q577" s="39"/>
      <x:c r="R577" s="39"/>
      <x:c r="S577" s="39"/>
      <x:c r="T577" s="39"/>
    </x:row>
    <x:row r="578">
      <x:c r="K578" s="39"/>
      <x:c r="L578" s="39"/>
      <x:c r="M578" s="39"/>
      <x:c r="N578" s="39"/>
      <x:c r="Q578" s="39"/>
      <x:c r="R578" s="39"/>
      <x:c r="S578" s="39"/>
      <x:c r="T578" s="39"/>
    </x:row>
    <x:row r="579">
      <x:c r="K579" s="39"/>
      <x:c r="L579" s="39"/>
      <x:c r="M579" s="39"/>
      <x:c r="N579" s="39"/>
      <x:c r="Q579" s="39"/>
      <x:c r="R579" s="39"/>
      <x:c r="S579" s="39"/>
      <x:c r="T579" s="39"/>
    </x:row>
    <x:row r="580">
      <x:c r="K580" s="39"/>
      <x:c r="L580" s="39"/>
      <x:c r="M580" s="39"/>
      <x:c r="N580" s="39"/>
      <x:c r="Q580" s="39"/>
      <x:c r="R580" s="39"/>
      <x:c r="S580" s="39"/>
      <x:c r="T580" s="39"/>
    </x:row>
    <x:row r="581">
      <x:c r="K581" s="39"/>
      <x:c r="L581" s="39"/>
      <x:c r="M581" s="39"/>
      <x:c r="N581" s="39"/>
      <x:c r="Q581" s="39"/>
      <x:c r="R581" s="39"/>
      <x:c r="S581" s="39"/>
      <x:c r="T581" s="39"/>
    </x:row>
    <x:row r="582">
      <x:c r="K582" s="39"/>
      <x:c r="L582" s="39"/>
      <x:c r="M582" s="39"/>
      <x:c r="N582" s="39"/>
      <x:c r="Q582" s="39"/>
      <x:c r="R582" s="39"/>
      <x:c r="S582" s="39"/>
      <x:c r="T582" s="39"/>
    </x:row>
    <x:row r="583">
      <x:c r="K583" s="39"/>
      <x:c r="L583" s="39"/>
      <x:c r="M583" s="39"/>
      <x:c r="N583" s="39"/>
      <x:c r="Q583" s="39"/>
      <x:c r="R583" s="39"/>
      <x:c r="S583" s="39"/>
      <x:c r="T583" s="39"/>
    </x:row>
    <x:row r="584">
      <x:c r="K584" s="39"/>
      <x:c r="L584" s="39"/>
      <x:c r="M584" s="39"/>
      <x:c r="N584" s="39"/>
      <x:c r="Q584" s="39"/>
      <x:c r="R584" s="39"/>
      <x:c r="S584" s="39"/>
      <x:c r="T584" s="39"/>
    </x:row>
    <x:row r="585">
      <x:c r="K585" s="39"/>
      <x:c r="L585" s="39"/>
      <x:c r="M585" s="39"/>
      <x:c r="N585" s="39"/>
      <x:c r="Q585" s="39"/>
      <x:c r="R585" s="39"/>
      <x:c r="S585" s="39"/>
      <x:c r="T585" s="39"/>
    </x:row>
    <x:row r="586">
      <x:c r="K586" s="39"/>
      <x:c r="L586" s="39"/>
      <x:c r="M586" s="39"/>
      <x:c r="N586" s="39"/>
      <x:c r="Q586" s="39"/>
      <x:c r="R586" s="39"/>
      <x:c r="S586" s="39"/>
      <x:c r="T586" s="39"/>
    </x:row>
    <x:row r="587">
      <x:c r="K587" s="39"/>
      <x:c r="L587" s="39"/>
      <x:c r="M587" s="39"/>
      <x:c r="N587" s="39"/>
      <x:c r="Q587" s="39"/>
      <x:c r="R587" s="39"/>
      <x:c r="S587" s="39"/>
      <x:c r="T587" s="39"/>
    </x:row>
    <x:row r="588">
      <x:c r="K588" s="39"/>
      <x:c r="L588" s="39"/>
      <x:c r="M588" s="39"/>
      <x:c r="N588" s="39"/>
      <x:c r="Q588" s="39"/>
      <x:c r="R588" s="39"/>
      <x:c r="S588" s="39"/>
      <x:c r="T588" s="39"/>
    </x:row>
    <x:row r="589">
      <x:c r="K589" s="39"/>
      <x:c r="L589" s="39"/>
      <x:c r="M589" s="39"/>
      <x:c r="N589" s="39"/>
      <x:c r="Q589" s="39"/>
      <x:c r="R589" s="39"/>
      <x:c r="S589" s="39"/>
      <x:c r="T589" s="39"/>
    </x:row>
    <x:row r="590">
      <x:c r="K590" s="39"/>
      <x:c r="L590" s="39"/>
      <x:c r="M590" s="39"/>
      <x:c r="N590" s="39"/>
      <x:c r="Q590" s="39"/>
      <x:c r="R590" s="39"/>
      <x:c r="S590" s="39"/>
      <x:c r="T590" s="39"/>
    </x:row>
    <x:row r="591">
      <x:c r="K591" s="39"/>
      <x:c r="L591" s="39"/>
      <x:c r="M591" s="39"/>
      <x:c r="N591" s="39"/>
      <x:c r="Q591" s="39"/>
      <x:c r="R591" s="39"/>
      <x:c r="S591" s="39"/>
      <x:c r="T591" s="39"/>
    </x:row>
    <x:row r="592">
      <x:c r="K592" s="39"/>
      <x:c r="L592" s="39"/>
      <x:c r="M592" s="39"/>
      <x:c r="N592" s="39"/>
      <x:c r="Q592" s="39"/>
      <x:c r="R592" s="39"/>
      <x:c r="S592" s="39"/>
      <x:c r="T592" s="39"/>
    </x:row>
    <x:row r="593">
      <x:c r="K593" s="39"/>
      <x:c r="L593" s="39"/>
      <x:c r="M593" s="39"/>
      <x:c r="N593" s="39"/>
      <x:c r="Q593" s="39"/>
      <x:c r="R593" s="39"/>
      <x:c r="S593" s="39"/>
      <x:c r="T593" s="39"/>
    </x:row>
    <x:row r="594">
      <x:c r="K594" s="39"/>
      <x:c r="L594" s="39"/>
      <x:c r="M594" s="39"/>
      <x:c r="N594" s="39"/>
      <x:c r="Q594" s="39"/>
      <x:c r="R594" s="39"/>
      <x:c r="S594" s="39"/>
      <x:c r="T594" s="39"/>
    </x:row>
    <x:row r="595">
      <x:c r="K595" s="39"/>
      <x:c r="L595" s="39"/>
      <x:c r="M595" s="39"/>
      <x:c r="N595" s="39"/>
      <x:c r="Q595" s="39"/>
      <x:c r="R595" s="39"/>
      <x:c r="S595" s="39"/>
      <x:c r="T595" s="39"/>
    </x:row>
    <x:row r="596">
      <x:c r="K596" s="39"/>
      <x:c r="L596" s="39"/>
      <x:c r="M596" s="39"/>
      <x:c r="N596" s="39"/>
      <x:c r="Q596" s="39"/>
      <x:c r="R596" s="39"/>
      <x:c r="S596" s="39"/>
      <x:c r="T596" s="39"/>
    </x:row>
    <x:row r="597">
      <x:c r="K597" s="39"/>
      <x:c r="L597" s="39"/>
      <x:c r="M597" s="39"/>
      <x:c r="N597" s="39"/>
      <x:c r="Q597" s="39"/>
      <x:c r="R597" s="39"/>
      <x:c r="S597" s="39"/>
      <x:c r="T597" s="39"/>
    </x:row>
    <x:row r="598">
      <x:c r="K598" s="39"/>
      <x:c r="L598" s="39"/>
      <x:c r="M598" s="39"/>
      <x:c r="N598" s="39"/>
      <x:c r="Q598" s="39"/>
      <x:c r="R598" s="39"/>
      <x:c r="S598" s="39"/>
      <x:c r="T598" s="39"/>
    </x:row>
    <x:row r="599">
      <x:c r="K599" s="39"/>
      <x:c r="L599" s="39"/>
      <x:c r="M599" s="39"/>
      <x:c r="N599" s="39"/>
      <x:c r="Q599" s="39"/>
      <x:c r="R599" s="39"/>
      <x:c r="S599" s="39"/>
      <x:c r="T599" s="39"/>
    </x:row>
    <x:row r="600">
      <x:c r="K600" s="39"/>
      <x:c r="L600" s="39"/>
      <x:c r="M600" s="39"/>
      <x:c r="N600" s="39"/>
      <x:c r="Q600" s="39"/>
      <x:c r="R600" s="39"/>
      <x:c r="S600" s="39"/>
      <x:c r="T600" s="39"/>
    </x:row>
    <x:row r="601">
      <x:c r="K601" s="39"/>
      <x:c r="L601" s="39"/>
      <x:c r="M601" s="39"/>
      <x:c r="N601" s="39"/>
      <x:c r="Q601" s="39"/>
      <x:c r="R601" s="39"/>
      <x:c r="S601" s="39"/>
      <x:c r="T601" s="39"/>
    </x:row>
    <x:row r="602">
      <x:c r="K602" s="39"/>
      <x:c r="L602" s="39"/>
      <x:c r="M602" s="39"/>
      <x:c r="N602" s="39"/>
      <x:c r="Q602" s="39"/>
      <x:c r="R602" s="39"/>
      <x:c r="S602" s="39"/>
      <x:c r="T602" s="39"/>
    </x:row>
    <x:row r="603">
      <x:c r="K603" s="39"/>
      <x:c r="L603" s="39"/>
      <x:c r="M603" s="39"/>
      <x:c r="N603" s="39"/>
      <x:c r="Q603" s="39"/>
      <x:c r="R603" s="39"/>
      <x:c r="S603" s="39"/>
      <x:c r="T603" s="39"/>
    </x:row>
    <x:row r="604">
      <x:c r="K604" s="39"/>
      <x:c r="L604" s="39"/>
      <x:c r="M604" s="39"/>
      <x:c r="N604" s="39"/>
      <x:c r="Q604" s="39"/>
      <x:c r="R604" s="39"/>
      <x:c r="S604" s="39"/>
      <x:c r="T604" s="39"/>
    </x:row>
    <x:row r="605">
      <x:c r="K605" s="39"/>
      <x:c r="L605" s="39"/>
      <x:c r="M605" s="39"/>
      <x:c r="N605" s="39"/>
      <x:c r="Q605" s="39"/>
      <x:c r="R605" s="39"/>
      <x:c r="S605" s="39"/>
      <x:c r="T605" s="39"/>
    </x:row>
    <x:row r="606">
      <x:c r="K606" s="39"/>
      <x:c r="L606" s="39"/>
      <x:c r="M606" s="39"/>
      <x:c r="N606" s="39"/>
      <x:c r="Q606" s="39"/>
      <x:c r="R606" s="39"/>
      <x:c r="S606" s="39"/>
      <x:c r="T606" s="39"/>
    </x:row>
    <x:row r="607">
      <x:c r="K607" s="39"/>
      <x:c r="L607" s="39"/>
      <x:c r="M607" s="39"/>
      <x:c r="N607" s="39"/>
      <x:c r="Q607" s="39"/>
      <x:c r="R607" s="39"/>
      <x:c r="S607" s="39"/>
      <x:c r="T607" s="39"/>
    </x:row>
    <x:row r="608">
      <x:c r="K608" s="39"/>
      <x:c r="L608" s="39"/>
      <x:c r="M608" s="39"/>
      <x:c r="N608" s="39"/>
      <x:c r="Q608" s="39"/>
      <x:c r="R608" s="39"/>
      <x:c r="S608" s="39"/>
      <x:c r="T608" s="39"/>
    </x:row>
    <x:row r="609">
      <x:c r="K609" s="39"/>
      <x:c r="L609" s="39"/>
      <x:c r="M609" s="39"/>
      <x:c r="N609" s="39"/>
      <x:c r="Q609" s="39"/>
      <x:c r="R609" s="39"/>
      <x:c r="S609" s="39"/>
      <x:c r="T609" s="39"/>
    </x:row>
    <x:row r="610">
      <x:c r="K610" s="39"/>
      <x:c r="L610" s="39"/>
      <x:c r="M610" s="39"/>
      <x:c r="N610" s="39"/>
      <x:c r="Q610" s="39"/>
      <x:c r="R610" s="39"/>
      <x:c r="S610" s="39"/>
      <x:c r="T610" s="39"/>
    </x:row>
    <x:row r="611">
      <x:c r="K611" s="39"/>
      <x:c r="L611" s="39"/>
      <x:c r="M611" s="39"/>
      <x:c r="N611" s="39"/>
      <x:c r="Q611" s="39"/>
      <x:c r="R611" s="39"/>
      <x:c r="S611" s="39"/>
      <x:c r="T611" s="39"/>
    </x:row>
    <x:row r="612">
      <x:c r="K612" s="39"/>
      <x:c r="L612" s="39"/>
      <x:c r="M612" s="39"/>
      <x:c r="N612" s="39"/>
      <x:c r="Q612" s="39"/>
      <x:c r="R612" s="39"/>
      <x:c r="S612" s="39"/>
      <x:c r="T612" s="39"/>
    </x:row>
    <x:row r="613">
      <x:c r="K613" s="39"/>
      <x:c r="L613" s="39"/>
      <x:c r="M613" s="39"/>
      <x:c r="N613" s="39"/>
      <x:c r="Q613" s="39"/>
      <x:c r="R613" s="39"/>
      <x:c r="S613" s="39"/>
      <x:c r="T613" s="39"/>
    </x:row>
    <x:row r="614">
      <x:c r="K614" s="39"/>
      <x:c r="L614" s="39"/>
      <x:c r="M614" s="39"/>
      <x:c r="N614" s="39"/>
      <x:c r="Q614" s="39"/>
      <x:c r="R614" s="39"/>
      <x:c r="S614" s="39"/>
      <x:c r="T614" s="39"/>
    </x:row>
    <x:row r="615">
      <x:c r="K615" s="39"/>
      <x:c r="L615" s="39"/>
      <x:c r="M615" s="39"/>
      <x:c r="N615" s="39"/>
      <x:c r="Q615" s="39"/>
      <x:c r="R615" s="39"/>
      <x:c r="S615" s="39"/>
      <x:c r="T615" s="39"/>
    </x:row>
    <x:row r="616">
      <x:c r="K616" s="39"/>
      <x:c r="L616" s="39"/>
      <x:c r="M616" s="39"/>
      <x:c r="N616" s="39"/>
      <x:c r="Q616" s="39"/>
      <x:c r="R616" s="39"/>
      <x:c r="S616" s="39"/>
      <x:c r="T616" s="39"/>
    </x:row>
    <x:row r="617">
      <x:c r="K617" s="39"/>
      <x:c r="L617" s="39"/>
      <x:c r="M617" s="39"/>
      <x:c r="N617" s="39"/>
      <x:c r="Q617" s="39"/>
      <x:c r="R617" s="39"/>
      <x:c r="S617" s="39"/>
      <x:c r="T617" s="39"/>
    </x:row>
    <x:row r="618">
      <x:c r="K618" s="39"/>
      <x:c r="L618" s="39"/>
      <x:c r="M618" s="39"/>
      <x:c r="N618" s="39"/>
      <x:c r="Q618" s="39"/>
      <x:c r="R618" s="39"/>
      <x:c r="S618" s="39"/>
      <x:c r="T618" s="39"/>
    </x:row>
    <x:row r="619">
      <x:c r="K619" s="39"/>
      <x:c r="L619" s="39"/>
      <x:c r="M619" s="39"/>
      <x:c r="N619" s="39"/>
      <x:c r="Q619" s="39"/>
      <x:c r="R619" s="39"/>
      <x:c r="S619" s="39"/>
      <x:c r="T619" s="39"/>
    </x:row>
    <x:row r="620">
      <x:c r="K620" s="39"/>
      <x:c r="L620" s="39"/>
      <x:c r="M620" s="39"/>
      <x:c r="N620" s="39"/>
      <x:c r="Q620" s="39"/>
      <x:c r="R620" s="39"/>
      <x:c r="S620" s="39"/>
      <x:c r="T620" s="39"/>
    </x:row>
    <x:row r="621">
      <x:c r="K621" s="39"/>
      <x:c r="L621" s="39"/>
      <x:c r="M621" s="39"/>
      <x:c r="N621" s="39"/>
      <x:c r="Q621" s="39"/>
      <x:c r="R621" s="39"/>
      <x:c r="S621" s="39"/>
      <x:c r="T621" s="39"/>
    </x:row>
    <x:row r="622">
      <x:c r="K622" s="39"/>
      <x:c r="L622" s="39"/>
      <x:c r="M622" s="39"/>
      <x:c r="N622" s="39"/>
      <x:c r="Q622" s="39"/>
      <x:c r="R622" s="39"/>
      <x:c r="S622" s="39"/>
      <x:c r="T622" s="39"/>
    </x:row>
    <x:row r="623">
      <x:c r="K623" s="39"/>
      <x:c r="L623" s="39"/>
      <x:c r="M623" s="39"/>
      <x:c r="N623" s="39"/>
      <x:c r="Q623" s="39"/>
      <x:c r="R623" s="39"/>
      <x:c r="S623" s="39"/>
      <x:c r="T623" s="39"/>
    </x:row>
    <x:row r="624">
      <x:c r="K624" s="39"/>
      <x:c r="L624" s="39"/>
      <x:c r="M624" s="39"/>
      <x:c r="N624" s="39"/>
      <x:c r="Q624" s="39"/>
      <x:c r="R624" s="39"/>
      <x:c r="S624" s="39"/>
      <x:c r="T624" s="39"/>
    </x:row>
    <x:row r="625">
      <x:c r="K625" s="39"/>
      <x:c r="L625" s="39"/>
      <x:c r="M625" s="39"/>
      <x:c r="N625" s="39"/>
      <x:c r="Q625" s="39"/>
      <x:c r="R625" s="39"/>
      <x:c r="S625" s="39"/>
      <x:c r="T625" s="39"/>
    </x:row>
    <x:row r="626">
      <x:c r="K626" s="39"/>
      <x:c r="L626" s="39"/>
      <x:c r="M626" s="39"/>
      <x:c r="N626" s="39"/>
      <x:c r="Q626" s="39"/>
      <x:c r="R626" s="39"/>
      <x:c r="S626" s="39"/>
      <x:c r="T626" s="39"/>
    </x:row>
    <x:row r="627">
      <x:c r="K627" s="39"/>
      <x:c r="L627" s="39"/>
      <x:c r="M627" s="39"/>
      <x:c r="N627" s="39"/>
      <x:c r="Q627" s="39"/>
      <x:c r="R627" s="39"/>
      <x:c r="S627" s="39"/>
      <x:c r="T627" s="39"/>
    </x:row>
    <x:row r="628">
      <x:c r="K628" s="39"/>
      <x:c r="L628" s="39"/>
      <x:c r="M628" s="39"/>
      <x:c r="N628" s="39"/>
      <x:c r="Q628" s="39"/>
      <x:c r="R628" s="39"/>
      <x:c r="S628" s="39"/>
      <x:c r="T628" s="39"/>
    </x:row>
    <x:row r="629">
      <x:c r="K629" s="39"/>
      <x:c r="L629" s="39"/>
      <x:c r="M629" s="39"/>
      <x:c r="N629" s="39"/>
      <x:c r="Q629" s="39"/>
      <x:c r="R629" s="39"/>
      <x:c r="S629" s="39"/>
      <x:c r="T629" s="39"/>
    </x:row>
    <x:row r="630">
      <x:c r="K630" s="39"/>
      <x:c r="L630" s="39"/>
      <x:c r="M630" s="39"/>
      <x:c r="N630" s="39"/>
      <x:c r="Q630" s="39"/>
      <x:c r="R630" s="39"/>
      <x:c r="S630" s="39"/>
      <x:c r="T630" s="39"/>
    </x:row>
    <x:row r="631">
      <x:c r="K631" s="39"/>
      <x:c r="L631" s="39"/>
      <x:c r="M631" s="39"/>
      <x:c r="N631" s="39"/>
      <x:c r="Q631" s="39"/>
      <x:c r="R631" s="39"/>
      <x:c r="S631" s="39"/>
      <x:c r="T631" s="39"/>
    </x:row>
    <x:row r="632">
      <x:c r="K632" s="39"/>
      <x:c r="L632" s="39"/>
      <x:c r="M632" s="39"/>
      <x:c r="N632" s="39"/>
      <x:c r="Q632" s="39"/>
      <x:c r="R632" s="39"/>
      <x:c r="S632" s="39"/>
      <x:c r="T632" s="39"/>
    </x:row>
    <x:row r="633">
      <x:c r="K633" s="39"/>
      <x:c r="L633" s="39"/>
      <x:c r="M633" s="39"/>
      <x:c r="N633" s="39"/>
      <x:c r="Q633" s="39"/>
      <x:c r="R633" s="39"/>
      <x:c r="S633" s="39"/>
      <x:c r="T633" s="39"/>
    </x:row>
    <x:row r="634">
      <x:c r="K634" s="39"/>
      <x:c r="L634" s="39"/>
      <x:c r="M634" s="39"/>
      <x:c r="N634" s="39"/>
      <x:c r="Q634" s="39"/>
      <x:c r="R634" s="39"/>
      <x:c r="S634" s="39"/>
      <x:c r="T634" s="39"/>
    </x:row>
    <x:row r="635">
      <x:c r="K635" s="39"/>
      <x:c r="L635" s="39"/>
      <x:c r="M635" s="39"/>
      <x:c r="N635" s="39"/>
      <x:c r="Q635" s="39"/>
      <x:c r="R635" s="39"/>
      <x:c r="S635" s="39"/>
      <x:c r="T635" s="39"/>
    </x:row>
    <x:row r="636">
      <x:c r="K636" s="39"/>
      <x:c r="L636" s="39"/>
      <x:c r="M636" s="39"/>
      <x:c r="N636" s="39"/>
      <x:c r="Q636" s="39"/>
      <x:c r="R636" s="39"/>
      <x:c r="S636" s="39"/>
      <x:c r="T636" s="39"/>
    </x:row>
    <x:row r="637">
      <x:c r="K637" s="39"/>
      <x:c r="L637" s="39"/>
      <x:c r="M637" s="39"/>
      <x:c r="N637" s="39"/>
      <x:c r="Q637" s="39"/>
      <x:c r="R637" s="39"/>
      <x:c r="S637" s="39"/>
      <x:c r="T637" s="39"/>
    </x:row>
    <x:row r="638">
      <x:c r="K638" s="39"/>
      <x:c r="L638" s="39"/>
      <x:c r="M638" s="39"/>
      <x:c r="N638" s="39"/>
      <x:c r="Q638" s="39"/>
      <x:c r="R638" s="39"/>
      <x:c r="S638" s="39"/>
      <x:c r="T638" s="39"/>
    </x:row>
    <x:row r="639">
      <x:c r="K639" s="39"/>
      <x:c r="L639" s="39"/>
      <x:c r="M639" s="39"/>
      <x:c r="N639" s="39"/>
      <x:c r="Q639" s="39"/>
      <x:c r="R639" s="39"/>
      <x:c r="S639" s="39"/>
      <x:c r="T639" s="39"/>
    </x:row>
    <x:row r="640">
      <x:c r="K640" s="39"/>
      <x:c r="L640" s="39"/>
      <x:c r="M640" s="39"/>
      <x:c r="N640" s="39"/>
      <x:c r="Q640" s="39"/>
      <x:c r="R640" s="39"/>
      <x:c r="S640" s="39"/>
      <x:c r="T640" s="39"/>
    </x:row>
    <x:row r="641">
      <x:c r="K641" s="39"/>
      <x:c r="L641" s="39"/>
      <x:c r="M641" s="39"/>
      <x:c r="N641" s="39"/>
      <x:c r="Q641" s="39"/>
      <x:c r="R641" s="39"/>
      <x:c r="S641" s="39"/>
      <x:c r="T641" s="39"/>
    </x:row>
    <x:row r="642">
      <x:c r="K642" s="39"/>
      <x:c r="L642" s="39"/>
      <x:c r="M642" s="39"/>
      <x:c r="N642" s="39"/>
      <x:c r="Q642" s="39"/>
      <x:c r="R642" s="39"/>
      <x:c r="S642" s="39"/>
      <x:c r="T642" s="39"/>
    </x:row>
    <x:row r="643">
      <x:c r="K643" s="39"/>
      <x:c r="L643" s="39"/>
      <x:c r="M643" s="39"/>
      <x:c r="N643" s="39"/>
      <x:c r="Q643" s="39"/>
      <x:c r="R643" s="39"/>
      <x:c r="S643" s="39"/>
      <x:c r="T643" s="39"/>
    </x:row>
    <x:row r="644">
      <x:c r="K644" s="39"/>
      <x:c r="L644" s="39"/>
      <x:c r="M644" s="39"/>
      <x:c r="N644" s="39"/>
      <x:c r="Q644" s="39"/>
      <x:c r="R644" s="39"/>
      <x:c r="S644" s="39"/>
      <x:c r="T644" s="39"/>
    </x:row>
    <x:row r="645">
      <x:c r="K645" s="39"/>
      <x:c r="L645" s="39"/>
      <x:c r="M645" s="39"/>
      <x:c r="N645" s="39"/>
      <x:c r="Q645" s="39"/>
      <x:c r="R645" s="39"/>
      <x:c r="S645" s="39"/>
      <x:c r="T645" s="39"/>
    </x:row>
    <x:row r="646">
      <x:c r="K646" s="39"/>
      <x:c r="L646" s="39"/>
      <x:c r="M646" s="39"/>
      <x:c r="N646" s="39"/>
      <x:c r="Q646" s="39"/>
      <x:c r="R646" s="39"/>
      <x:c r="S646" s="39"/>
      <x:c r="T646" s="39"/>
    </x:row>
    <x:row r="647">
      <x:c r="K647" s="39"/>
      <x:c r="L647" s="39"/>
      <x:c r="M647" s="39"/>
      <x:c r="N647" s="39"/>
      <x:c r="Q647" s="39"/>
      <x:c r="R647" s="39"/>
      <x:c r="S647" s="39"/>
      <x:c r="T647" s="39"/>
    </x:row>
    <x:row r="648">
      <x:c r="K648" s="39"/>
      <x:c r="L648" s="39"/>
      <x:c r="M648" s="39"/>
      <x:c r="N648" s="39"/>
      <x:c r="Q648" s="39"/>
      <x:c r="R648" s="39"/>
      <x:c r="S648" s="39"/>
      <x:c r="T648" s="39"/>
    </x:row>
    <x:row r="649">
      <x:c r="K649" s="39"/>
      <x:c r="L649" s="39"/>
      <x:c r="M649" s="39"/>
      <x:c r="N649" s="39"/>
      <x:c r="Q649" s="39"/>
      <x:c r="R649" s="39"/>
      <x:c r="S649" s="39"/>
      <x:c r="T649" s="39"/>
    </x:row>
    <x:row r="650">
      <x:c r="K650" s="39"/>
      <x:c r="L650" s="39"/>
      <x:c r="M650" s="39"/>
      <x:c r="N650" s="39"/>
      <x:c r="Q650" s="39"/>
      <x:c r="R650" s="39"/>
      <x:c r="S650" s="39"/>
      <x:c r="T650" s="39"/>
    </x:row>
    <x:row r="651">
      <x:c r="K651" s="39"/>
      <x:c r="L651" s="39"/>
      <x:c r="M651" s="39"/>
      <x:c r="N651" s="39"/>
      <x:c r="Q651" s="39"/>
      <x:c r="R651" s="39"/>
      <x:c r="S651" s="39"/>
      <x:c r="T651" s="39"/>
    </x:row>
    <x:row r="652">
      <x:c r="K652" s="39"/>
      <x:c r="L652" s="39"/>
      <x:c r="M652" s="39"/>
      <x:c r="N652" s="39"/>
      <x:c r="Q652" s="39"/>
      <x:c r="R652" s="39"/>
      <x:c r="S652" s="39"/>
      <x:c r="T652" s="39"/>
    </x:row>
    <x:row r="653">
      <x:c r="K653" s="39"/>
      <x:c r="L653" s="39"/>
      <x:c r="M653" s="39"/>
      <x:c r="N653" s="39"/>
      <x:c r="Q653" s="39"/>
      <x:c r="R653" s="39"/>
      <x:c r="S653" s="39"/>
      <x:c r="T653" s="39"/>
    </x:row>
    <x:row r="654">
      <x:c r="K654" s="39"/>
      <x:c r="L654" s="39"/>
      <x:c r="M654" s="39"/>
      <x:c r="N654" s="39"/>
      <x:c r="Q654" s="39"/>
      <x:c r="R654" s="39"/>
      <x:c r="S654" s="39"/>
      <x:c r="T654" s="39"/>
    </x:row>
    <x:row r="655">
      <x:c r="K655" s="39"/>
      <x:c r="L655" s="39"/>
      <x:c r="M655" s="39"/>
      <x:c r="N655" s="39"/>
      <x:c r="Q655" s="39"/>
      <x:c r="R655" s="39"/>
      <x:c r="S655" s="39"/>
      <x:c r="T655" s="39"/>
    </x:row>
    <x:row r="656">
      <x:c r="K656" s="39"/>
      <x:c r="L656" s="39"/>
      <x:c r="M656" s="39"/>
      <x:c r="N656" s="39"/>
      <x:c r="Q656" s="39"/>
      <x:c r="R656" s="39"/>
      <x:c r="S656" s="39"/>
      <x:c r="T656" s="39"/>
    </x:row>
    <x:row r="657">
      <x:c r="K657" s="39"/>
      <x:c r="L657" s="39"/>
      <x:c r="M657" s="39"/>
      <x:c r="N657" s="39"/>
      <x:c r="Q657" s="39"/>
      <x:c r="R657" s="39"/>
      <x:c r="S657" s="39"/>
      <x:c r="T657" s="39"/>
    </x:row>
    <x:row r="658">
      <x:c r="K658" s="39"/>
      <x:c r="L658" s="39"/>
      <x:c r="M658" s="39"/>
      <x:c r="N658" s="39"/>
      <x:c r="Q658" s="39"/>
      <x:c r="R658" s="39"/>
      <x:c r="S658" s="39"/>
      <x:c r="T658" s="39"/>
    </x:row>
    <x:row r="659">
      <x:c r="K659" s="39"/>
      <x:c r="L659" s="39"/>
      <x:c r="M659" s="39"/>
      <x:c r="N659" s="39"/>
      <x:c r="Q659" s="39"/>
      <x:c r="R659" s="39"/>
      <x:c r="S659" s="39"/>
      <x:c r="T659" s="39"/>
    </x:row>
    <x:row r="660">
      <x:c r="K660" s="39"/>
      <x:c r="L660" s="39"/>
      <x:c r="M660" s="39"/>
      <x:c r="N660" s="39"/>
      <x:c r="Q660" s="39"/>
      <x:c r="R660" s="39"/>
      <x:c r="S660" s="39"/>
      <x:c r="T660" s="39"/>
    </x:row>
    <x:row r="661">
      <x:c r="K661" s="39"/>
      <x:c r="L661" s="39"/>
      <x:c r="M661" s="39"/>
      <x:c r="N661" s="39"/>
      <x:c r="Q661" s="39"/>
      <x:c r="R661" s="39"/>
      <x:c r="S661" s="39"/>
      <x:c r="T661" s="39"/>
    </x:row>
    <x:row r="662">
      <x:c r="K662" s="39"/>
      <x:c r="L662" s="39"/>
      <x:c r="M662" s="39"/>
      <x:c r="N662" s="39"/>
      <x:c r="Q662" s="39"/>
      <x:c r="R662" s="39"/>
      <x:c r="S662" s="39"/>
      <x:c r="T662" s="39"/>
    </x:row>
    <x:row r="663">
      <x:c r="K663" s="39"/>
      <x:c r="L663" s="39"/>
      <x:c r="M663" s="39"/>
      <x:c r="N663" s="39"/>
      <x:c r="Q663" s="39"/>
      <x:c r="R663" s="39"/>
      <x:c r="S663" s="39"/>
      <x:c r="T663" s="39"/>
    </x:row>
    <x:row r="664">
      <x:c r="K664" s="39"/>
      <x:c r="L664" s="39"/>
      <x:c r="M664" s="39"/>
      <x:c r="N664" s="39"/>
      <x:c r="Q664" s="39"/>
      <x:c r="R664" s="39"/>
      <x:c r="S664" s="39"/>
      <x:c r="T664" s="39"/>
    </x:row>
    <x:row r="665">
      <x:c r="K665" s="39"/>
      <x:c r="L665" s="39"/>
      <x:c r="M665" s="39"/>
      <x:c r="N665" s="39"/>
      <x:c r="Q665" s="39"/>
      <x:c r="R665" s="39"/>
      <x:c r="S665" s="39"/>
      <x:c r="T665" s="39"/>
    </x:row>
    <x:row r="666">
      <x:c r="K666" s="39"/>
      <x:c r="L666" s="39"/>
      <x:c r="M666" s="39"/>
      <x:c r="N666" s="39"/>
      <x:c r="Q666" s="39"/>
      <x:c r="R666" s="39"/>
      <x:c r="S666" s="39"/>
      <x:c r="T666" s="39"/>
    </x:row>
    <x:row r="667">
      <x:c r="K667" s="39"/>
      <x:c r="L667" s="39"/>
      <x:c r="M667" s="39"/>
      <x:c r="N667" s="39"/>
      <x:c r="Q667" s="39"/>
      <x:c r="R667" s="39"/>
      <x:c r="S667" s="39"/>
      <x:c r="T667" s="39"/>
    </x:row>
    <x:row r="668">
      <x:c r="K668" s="39"/>
      <x:c r="L668" s="39"/>
      <x:c r="M668" s="39"/>
      <x:c r="N668" s="39"/>
      <x:c r="Q668" s="39"/>
      <x:c r="R668" s="39"/>
      <x:c r="S668" s="39"/>
      <x:c r="T668" s="39"/>
    </x:row>
    <x:row r="669">
      <x:c r="K669" s="39"/>
      <x:c r="L669" s="39"/>
      <x:c r="M669" s="39"/>
      <x:c r="N669" s="39"/>
      <x:c r="Q669" s="39"/>
      <x:c r="R669" s="39"/>
      <x:c r="S669" s="39"/>
      <x:c r="T669" s="39"/>
    </x:row>
    <x:row r="670">
      <x:c r="K670" s="39"/>
      <x:c r="L670" s="39"/>
      <x:c r="M670" s="39"/>
      <x:c r="N670" s="39"/>
      <x:c r="Q670" s="39"/>
      <x:c r="R670" s="39"/>
      <x:c r="S670" s="39"/>
      <x:c r="T670" s="39"/>
    </x:row>
    <x:row r="671">
      <x:c r="K671" s="39"/>
      <x:c r="L671" s="39"/>
      <x:c r="M671" s="39"/>
      <x:c r="N671" s="39"/>
      <x:c r="Q671" s="39"/>
      <x:c r="R671" s="39"/>
      <x:c r="S671" s="39"/>
      <x:c r="T671" s="39"/>
    </x:row>
    <x:row r="672">
      <x:c r="K672" s="39"/>
      <x:c r="L672" s="39"/>
      <x:c r="M672" s="39"/>
      <x:c r="N672" s="39"/>
      <x:c r="Q672" s="39"/>
      <x:c r="R672" s="39"/>
      <x:c r="S672" s="39"/>
      <x:c r="T672" s="39"/>
    </x:row>
    <x:row r="673">
      <x:c r="K673" s="39"/>
      <x:c r="L673" s="39"/>
      <x:c r="M673" s="39"/>
      <x:c r="N673" s="39"/>
      <x:c r="Q673" s="39"/>
      <x:c r="R673" s="39"/>
      <x:c r="S673" s="39"/>
      <x:c r="T673" s="39"/>
    </x:row>
    <x:row r="674">
      <x:c r="K674" s="39"/>
      <x:c r="L674" s="39"/>
      <x:c r="M674" s="39"/>
      <x:c r="N674" s="39"/>
      <x:c r="Q674" s="39"/>
      <x:c r="R674" s="39"/>
      <x:c r="S674" s="39"/>
      <x:c r="T674" s="39"/>
    </x:row>
    <x:row r="675">
      <x:c r="K675" s="39"/>
      <x:c r="L675" s="39"/>
      <x:c r="M675" s="39"/>
      <x:c r="N675" s="39"/>
      <x:c r="Q675" s="39"/>
      <x:c r="R675" s="39"/>
      <x:c r="S675" s="39"/>
      <x:c r="T675" s="39"/>
    </x:row>
    <x:row r="676">
      <x:c r="K676" s="39"/>
      <x:c r="L676" s="39"/>
      <x:c r="M676" s="39"/>
      <x:c r="N676" s="39"/>
      <x:c r="Q676" s="39"/>
      <x:c r="R676" s="39"/>
      <x:c r="S676" s="39"/>
      <x:c r="T676" s="39"/>
    </x:row>
    <x:row r="677">
      <x:c r="K677" s="39"/>
      <x:c r="L677" s="39"/>
      <x:c r="M677" s="39"/>
      <x:c r="N677" s="39"/>
      <x:c r="Q677" s="39"/>
      <x:c r="R677" s="39"/>
      <x:c r="S677" s="39"/>
      <x:c r="T677" s="39"/>
    </x:row>
    <x:row r="678">
      <x:c r="K678" s="39"/>
      <x:c r="L678" s="39"/>
      <x:c r="M678" s="39"/>
      <x:c r="N678" s="39"/>
      <x:c r="Q678" s="39"/>
      <x:c r="R678" s="39"/>
      <x:c r="S678" s="39"/>
      <x:c r="T678" s="39"/>
    </x:row>
    <x:row r="679">
      <x:c r="K679" s="39"/>
      <x:c r="L679" s="39"/>
      <x:c r="M679" s="39"/>
      <x:c r="N679" s="39"/>
      <x:c r="Q679" s="39"/>
      <x:c r="R679" s="39"/>
      <x:c r="S679" s="39"/>
      <x:c r="T679" s="39"/>
    </x:row>
    <x:row r="680">
      <x:c r="K680" s="39"/>
      <x:c r="L680" s="39"/>
      <x:c r="M680" s="39"/>
      <x:c r="N680" s="39"/>
      <x:c r="Q680" s="39"/>
      <x:c r="R680" s="39"/>
      <x:c r="S680" s="39"/>
      <x:c r="T680" s="39"/>
    </x:row>
    <x:row r="681">
      <x:c r="K681" s="39"/>
      <x:c r="L681" s="39"/>
      <x:c r="M681" s="39"/>
      <x:c r="N681" s="39"/>
      <x:c r="Q681" s="39"/>
      <x:c r="R681" s="39"/>
      <x:c r="S681" s="39"/>
      <x:c r="T681" s="39"/>
    </x:row>
    <x:row r="682">
      <x:c r="K682" s="39"/>
      <x:c r="L682" s="39"/>
      <x:c r="M682" s="39"/>
      <x:c r="N682" s="39"/>
      <x:c r="Q682" s="39"/>
      <x:c r="R682" s="39"/>
      <x:c r="S682" s="39"/>
      <x:c r="T682" s="39"/>
    </x:row>
    <x:row r="683">
      <x:c r="K683" s="39"/>
      <x:c r="L683" s="39"/>
      <x:c r="M683" s="39"/>
      <x:c r="N683" s="39"/>
      <x:c r="Q683" s="39"/>
      <x:c r="R683" s="39"/>
      <x:c r="S683" s="39"/>
      <x:c r="T683" s="39"/>
    </x:row>
    <x:row r="684">
      <x:c r="K684" s="39"/>
      <x:c r="L684" s="39"/>
      <x:c r="M684" s="39"/>
      <x:c r="N684" s="39"/>
      <x:c r="Q684" s="39"/>
      <x:c r="R684" s="39"/>
      <x:c r="S684" s="39"/>
      <x:c r="T684" s="39"/>
    </x:row>
    <x:row r="685">
      <x:c r="K685" s="39"/>
      <x:c r="L685" s="39"/>
      <x:c r="M685" s="39"/>
      <x:c r="N685" s="39"/>
      <x:c r="Q685" s="39"/>
      <x:c r="R685" s="39"/>
      <x:c r="S685" s="39"/>
      <x:c r="T685" s="39"/>
    </x:row>
    <x:row r="686">
      <x:c r="K686" s="39"/>
      <x:c r="L686" s="39"/>
      <x:c r="M686" s="39"/>
      <x:c r="N686" s="39"/>
      <x:c r="Q686" s="39"/>
      <x:c r="R686" s="39"/>
      <x:c r="S686" s="39"/>
      <x:c r="T686" s="39"/>
    </x:row>
    <x:row r="687">
      <x:c r="K687" s="39"/>
      <x:c r="L687" s="39"/>
      <x:c r="M687" s="39"/>
      <x:c r="N687" s="39"/>
      <x:c r="Q687" s="39"/>
      <x:c r="R687" s="39"/>
      <x:c r="S687" s="39"/>
      <x:c r="T687" s="39"/>
    </x:row>
    <x:row r="688">
      <x:c r="K688" s="39"/>
      <x:c r="L688" s="39"/>
      <x:c r="M688" s="39"/>
      <x:c r="N688" s="39"/>
      <x:c r="Q688" s="39"/>
      <x:c r="R688" s="39"/>
      <x:c r="S688" s="39"/>
      <x:c r="T688" s="39"/>
    </x:row>
    <x:row r="689">
      <x:c r="K689" s="39"/>
      <x:c r="L689" s="39"/>
      <x:c r="M689" s="39"/>
      <x:c r="N689" s="39"/>
      <x:c r="Q689" s="39"/>
      <x:c r="R689" s="39"/>
      <x:c r="S689" s="39"/>
      <x:c r="T689" s="39"/>
    </x:row>
    <x:row r="690">
      <x:c r="K690" s="39"/>
      <x:c r="L690" s="39"/>
      <x:c r="M690" s="39"/>
      <x:c r="N690" s="39"/>
      <x:c r="Q690" s="39"/>
      <x:c r="R690" s="39"/>
      <x:c r="S690" s="39"/>
      <x:c r="T690" s="39"/>
    </x:row>
    <x:row r="691">
      <x:c r="K691" s="39"/>
      <x:c r="L691" s="39"/>
      <x:c r="M691" s="39"/>
      <x:c r="N691" s="39"/>
      <x:c r="Q691" s="39"/>
      <x:c r="R691" s="39"/>
      <x:c r="S691" s="39"/>
      <x:c r="T691" s="39"/>
    </x:row>
    <x:row r="692">
      <x:c r="K692" s="39"/>
      <x:c r="L692" s="39"/>
      <x:c r="M692" s="39"/>
      <x:c r="N692" s="39"/>
      <x:c r="Q692" s="39"/>
      <x:c r="R692" s="39"/>
      <x:c r="S692" s="39"/>
      <x:c r="T692" s="39"/>
    </x:row>
    <x:row r="693">
      <x:c r="K693" s="39"/>
      <x:c r="L693" s="39"/>
      <x:c r="M693" s="39"/>
      <x:c r="N693" s="39"/>
      <x:c r="Q693" s="39"/>
      <x:c r="R693" s="39"/>
      <x:c r="S693" s="39"/>
      <x:c r="T693" s="39"/>
    </x:row>
    <x:row r="694">
      <x:c r="K694" s="39"/>
      <x:c r="L694" s="39"/>
      <x:c r="M694" s="39"/>
      <x:c r="N694" s="39"/>
      <x:c r="Q694" s="39"/>
      <x:c r="R694" s="39"/>
      <x:c r="S694" s="39"/>
      <x:c r="T694" s="39"/>
    </x:row>
    <x:row r="695">
      <x:c r="K695" s="39"/>
      <x:c r="L695" s="39"/>
      <x:c r="M695" s="39"/>
      <x:c r="N695" s="39"/>
      <x:c r="Q695" s="39"/>
      <x:c r="R695" s="39"/>
      <x:c r="S695" s="39"/>
      <x:c r="T695" s="39"/>
    </x:row>
    <x:row r="696">
      <x:c r="K696" s="39"/>
      <x:c r="L696" s="39"/>
      <x:c r="M696" s="39"/>
      <x:c r="N696" s="39"/>
      <x:c r="Q696" s="39"/>
      <x:c r="R696" s="39"/>
      <x:c r="S696" s="39"/>
      <x:c r="T696" s="39"/>
    </x:row>
    <x:row r="697">
      <x:c r="K697" s="39"/>
      <x:c r="L697" s="39"/>
      <x:c r="M697" s="39"/>
      <x:c r="N697" s="39"/>
      <x:c r="Q697" s="39"/>
      <x:c r="R697" s="39"/>
      <x:c r="S697" s="39"/>
      <x:c r="T697" s="39"/>
    </x:row>
    <x:row r="698">
      <x:c r="K698" s="39"/>
      <x:c r="L698" s="39"/>
      <x:c r="M698" s="39"/>
      <x:c r="N698" s="39"/>
      <x:c r="Q698" s="39"/>
      <x:c r="R698" s="39"/>
      <x:c r="S698" s="39"/>
      <x:c r="T698" s="39"/>
    </x:row>
    <x:row r="699">
      <x:c r="K699" s="39"/>
      <x:c r="L699" s="39"/>
      <x:c r="M699" s="39"/>
      <x:c r="N699" s="39"/>
      <x:c r="Q699" s="39"/>
      <x:c r="R699" s="39"/>
      <x:c r="S699" s="39"/>
      <x:c r="T699" s="39"/>
    </x:row>
    <x:row r="700">
      <x:c r="K700" s="39"/>
      <x:c r="L700" s="39"/>
      <x:c r="M700" s="39"/>
      <x:c r="N700" s="39"/>
      <x:c r="Q700" s="39"/>
      <x:c r="R700" s="39"/>
      <x:c r="S700" s="39"/>
      <x:c r="T700" s="39"/>
    </x:row>
    <x:row r="701">
      <x:c r="K701" s="39"/>
      <x:c r="L701" s="39"/>
      <x:c r="M701" s="39"/>
      <x:c r="N701" s="39"/>
      <x:c r="Q701" s="39"/>
      <x:c r="R701" s="39"/>
      <x:c r="S701" s="39"/>
      <x:c r="T701" s="39"/>
    </x:row>
    <x:row r="702">
      <x:c r="K702" s="39"/>
      <x:c r="L702" s="39"/>
      <x:c r="M702" s="39"/>
      <x:c r="N702" s="39"/>
      <x:c r="Q702" s="39"/>
      <x:c r="R702" s="39"/>
      <x:c r="S702" s="39"/>
      <x:c r="T702" s="39"/>
    </x:row>
    <x:row r="703">
      <x:c r="K703" s="39"/>
      <x:c r="L703" s="39"/>
      <x:c r="M703" s="39"/>
      <x:c r="N703" s="39"/>
      <x:c r="Q703" s="39"/>
      <x:c r="R703" s="39"/>
      <x:c r="S703" s="39"/>
      <x:c r="T703" s="39"/>
    </x:row>
    <x:row r="704">
      <x:c r="K704" s="39"/>
      <x:c r="L704" s="39"/>
      <x:c r="M704" s="39"/>
      <x:c r="N704" s="39"/>
      <x:c r="Q704" s="39"/>
      <x:c r="R704" s="39"/>
      <x:c r="S704" s="39"/>
      <x:c r="T704" s="39"/>
    </x:row>
    <x:row r="705">
      <x:c r="K705" s="39"/>
      <x:c r="L705" s="39"/>
      <x:c r="M705" s="39"/>
      <x:c r="N705" s="39"/>
      <x:c r="Q705" s="39"/>
      <x:c r="R705" s="39"/>
      <x:c r="S705" s="39"/>
      <x:c r="T705" s="39"/>
    </x:row>
    <x:row r="706">
      <x:c r="K706" s="39"/>
      <x:c r="L706" s="39"/>
      <x:c r="M706" s="39"/>
      <x:c r="N706" s="39"/>
      <x:c r="Q706" s="39"/>
      <x:c r="R706" s="39"/>
      <x:c r="S706" s="39"/>
      <x:c r="T706" s="39"/>
    </x:row>
    <x:row r="707">
      <x:c r="K707" s="39"/>
      <x:c r="L707" s="39"/>
      <x:c r="M707" s="39"/>
      <x:c r="N707" s="39"/>
      <x:c r="Q707" s="39"/>
      <x:c r="R707" s="39"/>
      <x:c r="S707" s="39"/>
      <x:c r="T707" s="39"/>
    </x:row>
    <x:row r="708">
      <x:c r="K708" s="39"/>
      <x:c r="L708" s="39"/>
      <x:c r="M708" s="39"/>
      <x:c r="N708" s="39"/>
      <x:c r="Q708" s="39"/>
      <x:c r="R708" s="39"/>
      <x:c r="S708" s="39"/>
      <x:c r="T708" s="39"/>
    </x:row>
    <x:row r="709">
      <x:c r="K709" s="39"/>
      <x:c r="L709" s="39"/>
      <x:c r="M709" s="39"/>
      <x:c r="N709" s="39"/>
      <x:c r="Q709" s="39"/>
      <x:c r="R709" s="39"/>
      <x:c r="S709" s="39"/>
      <x:c r="T709" s="39"/>
    </x:row>
    <x:row r="710">
      <x:c r="K710" s="39"/>
      <x:c r="L710" s="39"/>
      <x:c r="M710" s="39"/>
      <x:c r="N710" s="39"/>
      <x:c r="Q710" s="39"/>
      <x:c r="R710" s="39"/>
      <x:c r="S710" s="39"/>
      <x:c r="T710" s="39"/>
    </x:row>
    <x:row r="711">
      <x:c r="K711" s="39"/>
      <x:c r="L711" s="39"/>
      <x:c r="M711" s="39"/>
      <x:c r="N711" s="39"/>
      <x:c r="Q711" s="39"/>
      <x:c r="R711" s="39"/>
      <x:c r="S711" s="39"/>
      <x:c r="T711" s="39"/>
    </x:row>
    <x:row r="712">
      <x:c r="K712" s="39"/>
      <x:c r="L712" s="39"/>
      <x:c r="M712" s="39"/>
      <x:c r="N712" s="39"/>
      <x:c r="Q712" s="39"/>
      <x:c r="R712" s="39"/>
      <x:c r="S712" s="39"/>
      <x:c r="T712" s="39"/>
    </x:row>
    <x:row r="713">
      <x:c r="K713" s="39"/>
      <x:c r="L713" s="39"/>
      <x:c r="M713" s="39"/>
      <x:c r="N713" s="39"/>
      <x:c r="Q713" s="39"/>
      <x:c r="R713" s="39"/>
      <x:c r="S713" s="39"/>
      <x:c r="T713" s="39"/>
    </x:row>
    <x:row r="714">
      <x:c r="K714" s="39"/>
      <x:c r="L714" s="39"/>
      <x:c r="M714" s="39"/>
      <x:c r="N714" s="39"/>
      <x:c r="Q714" s="39"/>
      <x:c r="R714" s="39"/>
      <x:c r="S714" s="39"/>
      <x:c r="T714" s="39"/>
    </x:row>
    <x:row r="715">
      <x:c r="K715" s="39"/>
      <x:c r="L715" s="39"/>
      <x:c r="M715" s="39"/>
      <x:c r="N715" s="39"/>
      <x:c r="Q715" s="39"/>
      <x:c r="R715" s="39"/>
      <x:c r="S715" s="39"/>
      <x:c r="T715" s="39"/>
    </x:row>
    <x:row r="716">
      <x:c r="K716" s="39"/>
      <x:c r="L716" s="39"/>
      <x:c r="M716" s="39"/>
      <x:c r="N716" s="39"/>
      <x:c r="Q716" s="39"/>
      <x:c r="R716" s="39"/>
      <x:c r="S716" s="39"/>
      <x:c r="T716" s="39"/>
    </x:row>
    <x:row r="717">
      <x:c r="K717" s="39"/>
      <x:c r="L717" s="39"/>
      <x:c r="M717" s="39"/>
      <x:c r="N717" s="39"/>
      <x:c r="Q717" s="39"/>
      <x:c r="R717" s="39"/>
      <x:c r="S717" s="39"/>
      <x:c r="T717" s="39"/>
    </x:row>
    <x:row r="718">
      <x:c r="K718" s="39"/>
      <x:c r="L718" s="39"/>
      <x:c r="M718" s="39"/>
      <x:c r="N718" s="39"/>
      <x:c r="Q718" s="39"/>
      <x:c r="R718" s="39"/>
      <x:c r="S718" s="39"/>
      <x:c r="T718" s="39"/>
    </x:row>
    <x:row r="719">
      <x:c r="K719" s="39"/>
      <x:c r="L719" s="39"/>
      <x:c r="M719" s="39"/>
      <x:c r="N719" s="39"/>
      <x:c r="Q719" s="39"/>
      <x:c r="R719" s="39"/>
      <x:c r="S719" s="39"/>
      <x:c r="T719" s="39"/>
    </x:row>
    <x:row r="720">
      <x:c r="K720" s="39"/>
      <x:c r="L720" s="39"/>
      <x:c r="M720" s="39"/>
      <x:c r="N720" s="39"/>
      <x:c r="Q720" s="39"/>
      <x:c r="R720" s="39"/>
      <x:c r="S720" s="39"/>
      <x:c r="T720" s="39"/>
    </x:row>
    <x:row r="721">
      <x:c r="K721" s="39"/>
      <x:c r="L721" s="39"/>
      <x:c r="M721" s="39"/>
      <x:c r="N721" s="39"/>
      <x:c r="Q721" s="39"/>
      <x:c r="R721" s="39"/>
      <x:c r="S721" s="39"/>
      <x:c r="T721" s="39"/>
    </x:row>
    <x:row r="722">
      <x:c r="K722" s="39"/>
      <x:c r="L722" s="39"/>
      <x:c r="M722" s="39"/>
      <x:c r="N722" s="39"/>
      <x:c r="Q722" s="39"/>
      <x:c r="R722" s="39"/>
      <x:c r="S722" s="39"/>
      <x:c r="T722" s="39"/>
    </x:row>
    <x:row r="723">
      <x:c r="K723" s="39"/>
      <x:c r="L723" s="39"/>
      <x:c r="M723" s="39"/>
      <x:c r="N723" s="39"/>
      <x:c r="Q723" s="39"/>
      <x:c r="R723" s="39"/>
      <x:c r="S723" s="39"/>
      <x:c r="T723" s="39"/>
    </x:row>
    <x:row r="724">
      <x:c r="K724" s="39"/>
      <x:c r="L724" s="39"/>
      <x:c r="M724" s="39"/>
      <x:c r="N724" s="39"/>
      <x:c r="Q724" s="39"/>
      <x:c r="R724" s="39"/>
      <x:c r="S724" s="39"/>
      <x:c r="T724" s="39"/>
    </x:row>
    <x:row r="725">
      <x:c r="K725" s="39"/>
      <x:c r="L725" s="39"/>
      <x:c r="M725" s="39"/>
      <x:c r="N725" s="39"/>
      <x:c r="Q725" s="39"/>
      <x:c r="R725" s="39"/>
      <x:c r="S725" s="39"/>
      <x:c r="T725" s="39"/>
    </x:row>
    <x:row r="726">
      <x:c r="K726" s="39"/>
      <x:c r="L726" s="39"/>
      <x:c r="M726" s="39"/>
      <x:c r="N726" s="39"/>
      <x:c r="Q726" s="39"/>
      <x:c r="R726" s="39"/>
      <x:c r="S726" s="39"/>
      <x:c r="T726" s="39"/>
    </x:row>
    <x:row r="727">
      <x:c r="K727" s="39"/>
      <x:c r="L727" s="39"/>
      <x:c r="M727" s="39"/>
      <x:c r="N727" s="39"/>
      <x:c r="Q727" s="39"/>
      <x:c r="R727" s="39"/>
      <x:c r="S727" s="39"/>
      <x:c r="T727" s="39"/>
    </x:row>
    <x:row r="728">
      <x:c r="K728" s="39"/>
      <x:c r="L728" s="39"/>
      <x:c r="M728" s="39"/>
      <x:c r="N728" s="39"/>
      <x:c r="Q728" s="39"/>
      <x:c r="R728" s="39"/>
      <x:c r="S728" s="39"/>
      <x:c r="T728" s="39"/>
    </x:row>
    <x:row r="729">
      <x:c r="K729" s="39"/>
      <x:c r="L729" s="39"/>
      <x:c r="M729" s="39"/>
      <x:c r="N729" s="39"/>
      <x:c r="Q729" s="39"/>
      <x:c r="R729" s="39"/>
      <x:c r="S729" s="39"/>
      <x:c r="T729" s="39"/>
    </x:row>
    <x:row r="730">
      <x:c r="K730" s="39"/>
      <x:c r="L730" s="39"/>
      <x:c r="M730" s="39"/>
      <x:c r="N730" s="39"/>
      <x:c r="Q730" s="39"/>
      <x:c r="R730" s="39"/>
      <x:c r="S730" s="39"/>
      <x:c r="T730" s="39"/>
    </x:row>
    <x:row r="731">
      <x:c r="K731" s="39"/>
      <x:c r="L731" s="39"/>
      <x:c r="M731" s="39"/>
      <x:c r="N731" s="39"/>
      <x:c r="Q731" s="39"/>
      <x:c r="R731" s="39"/>
      <x:c r="S731" s="39"/>
      <x:c r="T731" s="39"/>
    </x:row>
    <x:row r="732">
      <x:c r="K732" s="39"/>
      <x:c r="L732" s="39"/>
      <x:c r="M732" s="39"/>
      <x:c r="N732" s="39"/>
      <x:c r="Q732" s="39"/>
      <x:c r="R732" s="39"/>
      <x:c r="S732" s="39"/>
      <x:c r="T732" s="39"/>
    </x:row>
    <x:row r="733">
      <x:c r="K733" s="39"/>
      <x:c r="L733" s="39"/>
      <x:c r="M733" s="39"/>
      <x:c r="N733" s="39"/>
      <x:c r="Q733" s="39"/>
      <x:c r="R733" s="39"/>
      <x:c r="S733" s="39"/>
      <x:c r="T733" s="39"/>
    </x:row>
    <x:row r="734">
      <x:c r="K734" s="39"/>
      <x:c r="L734" s="39"/>
      <x:c r="M734" s="39"/>
      <x:c r="N734" s="39"/>
      <x:c r="Q734" s="39"/>
      <x:c r="R734" s="39"/>
      <x:c r="S734" s="39"/>
      <x:c r="T734" s="39"/>
    </x:row>
    <x:row r="735">
      <x:c r="K735" s="39"/>
      <x:c r="L735" s="39"/>
      <x:c r="M735" s="39"/>
      <x:c r="N735" s="39"/>
      <x:c r="Q735" s="39"/>
      <x:c r="R735" s="39"/>
      <x:c r="S735" s="39"/>
      <x:c r="T735" s="39"/>
    </x:row>
    <x:row r="736">
      <x:c r="K736" s="39"/>
      <x:c r="L736" s="39"/>
      <x:c r="M736" s="39"/>
      <x:c r="N736" s="39"/>
      <x:c r="Q736" s="39"/>
      <x:c r="R736" s="39"/>
      <x:c r="S736" s="39"/>
      <x:c r="T736" s="39"/>
    </x:row>
    <x:row r="737">
      <x:c r="K737" s="39"/>
      <x:c r="L737" s="39"/>
      <x:c r="M737" s="39"/>
      <x:c r="N737" s="39"/>
      <x:c r="Q737" s="39"/>
      <x:c r="R737" s="39"/>
      <x:c r="S737" s="39"/>
      <x:c r="T737" s="39"/>
    </x:row>
    <x:row r="738">
      <x:c r="K738" s="39"/>
      <x:c r="L738" s="39"/>
      <x:c r="M738" s="39"/>
      <x:c r="N738" s="39"/>
      <x:c r="Q738" s="39"/>
      <x:c r="R738" s="39"/>
      <x:c r="S738" s="39"/>
      <x:c r="T738" s="39"/>
    </x:row>
    <x:row r="739">
      <x:c r="K739" s="39"/>
      <x:c r="L739" s="39"/>
      <x:c r="M739" s="39"/>
      <x:c r="N739" s="39"/>
      <x:c r="Q739" s="39"/>
      <x:c r="R739" s="39"/>
      <x:c r="S739" s="39"/>
      <x:c r="T739" s="39"/>
    </x:row>
    <x:row r="740">
      <x:c r="K740" s="39"/>
      <x:c r="L740" s="39"/>
      <x:c r="M740" s="39"/>
      <x:c r="N740" s="39"/>
      <x:c r="Q740" s="39"/>
      <x:c r="R740" s="39"/>
      <x:c r="S740" s="39"/>
      <x:c r="T740" s="39"/>
    </x:row>
    <x:row r="741">
      <x:c r="K741" s="39"/>
      <x:c r="L741" s="39"/>
      <x:c r="M741" s="39"/>
      <x:c r="N741" s="39"/>
      <x:c r="Q741" s="39"/>
      <x:c r="R741" s="39"/>
      <x:c r="S741" s="39"/>
      <x:c r="T741" s="39"/>
    </x:row>
    <x:row r="742">
      <x:c r="K742" s="39"/>
      <x:c r="L742" s="39"/>
      <x:c r="M742" s="39"/>
      <x:c r="N742" s="39"/>
      <x:c r="Q742" s="39"/>
      <x:c r="R742" s="39"/>
      <x:c r="S742" s="39"/>
      <x:c r="T742" s="39"/>
    </x:row>
    <x:row r="743">
      <x:c r="K743" s="39"/>
      <x:c r="L743" s="39"/>
      <x:c r="M743" s="39"/>
      <x:c r="N743" s="39"/>
      <x:c r="Q743" s="39"/>
      <x:c r="R743" s="39"/>
      <x:c r="S743" s="39"/>
      <x:c r="T743" s="39"/>
    </x:row>
    <x:row r="744">
      <x:c r="K744" s="39"/>
      <x:c r="L744" s="39"/>
      <x:c r="M744" s="39"/>
      <x:c r="N744" s="39"/>
      <x:c r="Q744" s="39"/>
      <x:c r="R744" s="39"/>
      <x:c r="S744" s="39"/>
      <x:c r="T744" s="39"/>
    </x:row>
    <x:row r="745">
      <x:c r="K745" s="39"/>
      <x:c r="L745" s="39"/>
      <x:c r="M745" s="39"/>
      <x:c r="N745" s="39"/>
      <x:c r="Q745" s="39"/>
      <x:c r="R745" s="39"/>
      <x:c r="S745" s="39"/>
      <x:c r="T745" s="39"/>
    </x:row>
    <x:row r="746">
      <x:c r="K746" s="39"/>
      <x:c r="L746" s="39"/>
      <x:c r="M746" s="39"/>
      <x:c r="N746" s="39"/>
      <x:c r="Q746" s="39"/>
      <x:c r="R746" s="39"/>
      <x:c r="S746" s="39"/>
      <x:c r="T746" s="39"/>
    </x:row>
    <x:row r="747">
      <x:c r="K747" s="39"/>
      <x:c r="L747" s="39"/>
      <x:c r="M747" s="39"/>
      <x:c r="N747" s="39"/>
      <x:c r="Q747" s="39"/>
      <x:c r="R747" s="39"/>
      <x:c r="S747" s="39"/>
      <x:c r="T747" s="39"/>
    </x:row>
    <x:row r="748">
      <x:c r="K748" s="39"/>
      <x:c r="L748" s="39"/>
      <x:c r="M748" s="39"/>
      <x:c r="N748" s="39"/>
      <x:c r="Q748" s="39"/>
      <x:c r="R748" s="39"/>
      <x:c r="S748" s="39"/>
      <x:c r="T748" s="39"/>
    </x:row>
    <x:row r="749">
      <x:c r="K749" s="39"/>
      <x:c r="L749" s="39"/>
      <x:c r="M749" s="39"/>
      <x:c r="N749" s="39"/>
      <x:c r="Q749" s="39"/>
      <x:c r="R749" s="39"/>
      <x:c r="S749" s="39"/>
      <x:c r="T749" s="39"/>
    </x:row>
    <x:row r="750">
      <x:c r="K750" s="39"/>
      <x:c r="L750" s="39"/>
      <x:c r="M750" s="39"/>
      <x:c r="N750" s="39"/>
      <x:c r="Q750" s="39"/>
      <x:c r="R750" s="39"/>
      <x:c r="S750" s="39"/>
      <x:c r="T750" s="39"/>
    </x:row>
    <x:row r="751">
      <x:c r="K751" s="39"/>
      <x:c r="L751" s="39"/>
      <x:c r="M751" s="39"/>
      <x:c r="N751" s="39"/>
      <x:c r="Q751" s="39"/>
      <x:c r="R751" s="39"/>
      <x:c r="S751" s="39"/>
      <x:c r="T751" s="39"/>
    </x:row>
    <x:row r="752">
      <x:c r="K752" s="39"/>
      <x:c r="L752" s="39"/>
      <x:c r="M752" s="39"/>
      <x:c r="N752" s="39"/>
      <x:c r="Q752" s="39"/>
      <x:c r="R752" s="39"/>
      <x:c r="S752" s="39"/>
      <x:c r="T752" s="39"/>
    </x:row>
    <x:row r="753">
      <x:c r="K753" s="39"/>
      <x:c r="L753" s="39"/>
      <x:c r="M753" s="39"/>
      <x:c r="N753" s="39"/>
      <x:c r="Q753" s="39"/>
      <x:c r="R753" s="39"/>
      <x:c r="S753" s="39"/>
      <x:c r="T753" s="39"/>
    </x:row>
    <x:row r="754">
      <x:c r="K754" s="39"/>
      <x:c r="L754" s="39"/>
      <x:c r="M754" s="39"/>
      <x:c r="N754" s="39"/>
      <x:c r="Q754" s="39"/>
      <x:c r="R754" s="39"/>
      <x:c r="S754" s="39"/>
      <x:c r="T754" s="39"/>
    </x:row>
    <x:row r="755">
      <x:c r="K755" s="39"/>
      <x:c r="L755" s="39"/>
      <x:c r="M755" s="39"/>
      <x:c r="N755" s="39"/>
      <x:c r="Q755" s="39"/>
      <x:c r="R755" s="39"/>
      <x:c r="S755" s="39"/>
      <x:c r="T755" s="39"/>
    </x:row>
    <x:row r="756">
      <x:c r="K756" s="39"/>
      <x:c r="L756" s="39"/>
      <x:c r="M756" s="39"/>
      <x:c r="N756" s="39"/>
      <x:c r="Q756" s="39"/>
      <x:c r="R756" s="39"/>
      <x:c r="S756" s="39"/>
      <x:c r="T756" s="39"/>
    </x:row>
    <x:row r="757">
      <x:c r="K757" s="39"/>
      <x:c r="L757" s="39"/>
      <x:c r="M757" s="39"/>
      <x:c r="N757" s="39"/>
      <x:c r="Q757" s="39"/>
      <x:c r="R757" s="39"/>
      <x:c r="S757" s="39"/>
      <x:c r="T757" s="39"/>
    </x:row>
    <x:row r="758">
      <x:c r="K758" s="39"/>
      <x:c r="L758" s="39"/>
      <x:c r="M758" s="39"/>
      <x:c r="N758" s="39"/>
      <x:c r="Q758" s="39"/>
      <x:c r="R758" s="39"/>
      <x:c r="S758" s="39"/>
      <x:c r="T758" s="39"/>
    </x:row>
    <x:row r="759">
      <x:c r="K759" s="39"/>
      <x:c r="L759" s="39"/>
      <x:c r="M759" s="39"/>
      <x:c r="N759" s="39"/>
      <x:c r="Q759" s="39"/>
      <x:c r="R759" s="39"/>
      <x:c r="S759" s="39"/>
      <x:c r="T759" s="39"/>
    </x:row>
    <x:row r="760">
      <x:c r="K760" s="39"/>
      <x:c r="L760" s="39"/>
      <x:c r="M760" s="39"/>
      <x:c r="N760" s="39"/>
      <x:c r="Q760" s="39"/>
      <x:c r="R760" s="39"/>
      <x:c r="S760" s="39"/>
      <x:c r="T760" s="39"/>
    </x:row>
    <x:row r="761">
      <x:c r="K761" s="39"/>
      <x:c r="L761" s="39"/>
      <x:c r="M761" s="39"/>
      <x:c r="N761" s="39"/>
      <x:c r="Q761" s="39"/>
      <x:c r="R761" s="39"/>
      <x:c r="S761" s="39"/>
      <x:c r="T761" s="39"/>
    </x:row>
    <x:row r="762">
      <x:c r="K762" s="39"/>
      <x:c r="L762" s="39"/>
      <x:c r="M762" s="39"/>
      <x:c r="N762" s="39"/>
      <x:c r="Q762" s="39"/>
      <x:c r="R762" s="39"/>
      <x:c r="S762" s="39"/>
      <x:c r="T762" s="39"/>
    </x:row>
    <x:row r="763">
      <x:c r="K763" s="39"/>
      <x:c r="L763" s="39"/>
      <x:c r="M763" s="39"/>
      <x:c r="N763" s="39"/>
      <x:c r="Q763" s="39"/>
      <x:c r="R763" s="39"/>
      <x:c r="S763" s="39"/>
      <x:c r="T763" s="39"/>
    </x:row>
    <x:row r="764">
      <x:c r="K764" s="39"/>
      <x:c r="L764" s="39"/>
      <x:c r="M764" s="39"/>
      <x:c r="N764" s="39"/>
      <x:c r="Q764" s="39"/>
      <x:c r="R764" s="39"/>
      <x:c r="S764" s="39"/>
      <x:c r="T764" s="39"/>
    </x:row>
    <x:row r="765">
      <x:c r="K765" s="39"/>
      <x:c r="L765" s="39"/>
      <x:c r="M765" s="39"/>
      <x:c r="N765" s="39"/>
      <x:c r="Q765" s="39"/>
      <x:c r="R765" s="39"/>
      <x:c r="S765" s="39"/>
      <x:c r="T765" s="39"/>
    </x:row>
    <x:row r="766">
      <x:c r="K766" s="39"/>
      <x:c r="L766" s="39"/>
      <x:c r="M766" s="39"/>
      <x:c r="N766" s="39"/>
      <x:c r="Q766" s="39"/>
      <x:c r="R766" s="39"/>
      <x:c r="S766" s="39"/>
      <x:c r="T766" s="39"/>
    </x:row>
    <x:row r="767">
      <x:c r="K767" s="39"/>
      <x:c r="L767" s="39"/>
      <x:c r="M767" s="39"/>
      <x:c r="N767" s="39"/>
      <x:c r="Q767" s="39"/>
      <x:c r="R767" s="39"/>
      <x:c r="S767" s="39"/>
      <x:c r="T767" s="39"/>
    </x:row>
    <x:row r="768">
      <x:c r="K768" s="39"/>
      <x:c r="L768" s="39"/>
      <x:c r="M768" s="39"/>
      <x:c r="N768" s="39"/>
      <x:c r="Q768" s="39"/>
      <x:c r="R768" s="39"/>
      <x:c r="S768" s="39"/>
      <x:c r="T768" s="39"/>
    </x:row>
    <x:row r="769">
      <x:c r="K769" s="39"/>
      <x:c r="L769" s="39"/>
      <x:c r="M769" s="39"/>
      <x:c r="N769" s="39"/>
      <x:c r="Q769" s="39"/>
      <x:c r="R769" s="39"/>
      <x:c r="S769" s="39"/>
      <x:c r="T769" s="39"/>
    </x:row>
    <x:row r="770">
      <x:c r="K770" s="39"/>
      <x:c r="L770" s="39"/>
      <x:c r="M770" s="39"/>
      <x:c r="N770" s="39"/>
      <x:c r="Q770" s="39"/>
      <x:c r="R770" s="39"/>
      <x:c r="S770" s="39"/>
      <x:c r="T770" s="39"/>
    </x:row>
    <x:row r="771">
      <x:c r="K771" s="39"/>
      <x:c r="L771" s="39"/>
      <x:c r="M771" s="39"/>
      <x:c r="N771" s="39"/>
      <x:c r="Q771" s="39"/>
      <x:c r="R771" s="39"/>
      <x:c r="S771" s="39"/>
      <x:c r="T771" s="39"/>
    </x:row>
    <x:row r="772">
      <x:c r="K772" s="39"/>
      <x:c r="L772" s="39"/>
      <x:c r="M772" s="39"/>
      <x:c r="N772" s="39"/>
      <x:c r="Q772" s="39"/>
      <x:c r="R772" s="39"/>
      <x:c r="S772" s="39"/>
      <x:c r="T772" s="39"/>
    </x:row>
    <x:row r="773">
      <x:c r="K773" s="39"/>
      <x:c r="L773" s="39"/>
      <x:c r="M773" s="39"/>
      <x:c r="N773" s="39"/>
      <x:c r="Q773" s="39"/>
      <x:c r="R773" s="39"/>
      <x:c r="S773" s="39"/>
      <x:c r="T773" s="39"/>
    </x:row>
    <x:row r="774">
      <x:c r="K774" s="39"/>
      <x:c r="L774" s="39"/>
      <x:c r="M774" s="39"/>
      <x:c r="N774" s="39"/>
      <x:c r="Q774" s="39"/>
      <x:c r="R774" s="39"/>
      <x:c r="S774" s="39"/>
      <x:c r="T774" s="39"/>
    </x:row>
    <x:row r="775">
      <x:c r="K775" s="39"/>
      <x:c r="L775" s="39"/>
      <x:c r="M775" s="39"/>
      <x:c r="N775" s="39"/>
      <x:c r="Q775" s="39"/>
      <x:c r="R775" s="39"/>
      <x:c r="S775" s="39"/>
      <x:c r="T775" s="39"/>
    </x:row>
    <x:row r="776">
      <x:c r="K776" s="39"/>
      <x:c r="L776" s="39"/>
      <x:c r="M776" s="39"/>
      <x:c r="N776" s="39"/>
      <x:c r="Q776" s="39"/>
      <x:c r="R776" s="39"/>
      <x:c r="S776" s="39"/>
      <x:c r="T776" s="39"/>
    </x:row>
    <x:row r="777">
      <x:c r="K777" s="39"/>
      <x:c r="L777" s="39"/>
      <x:c r="M777" s="39"/>
      <x:c r="N777" s="39"/>
      <x:c r="Q777" s="39"/>
      <x:c r="R777" s="39"/>
      <x:c r="S777" s="39"/>
      <x:c r="T777" s="39"/>
    </x:row>
    <x:row r="778">
      <x:c r="K778" s="39"/>
      <x:c r="L778" s="39"/>
      <x:c r="M778" s="39"/>
      <x:c r="N778" s="39"/>
      <x:c r="Q778" s="39"/>
      <x:c r="R778" s="39"/>
      <x:c r="S778" s="39"/>
      <x:c r="T778" s="39"/>
    </x:row>
    <x:row r="779">
      <x:c r="K779" s="39"/>
      <x:c r="L779" s="39"/>
      <x:c r="M779" s="39"/>
      <x:c r="N779" s="39"/>
      <x:c r="Q779" s="39"/>
      <x:c r="R779" s="39"/>
      <x:c r="S779" s="39"/>
      <x:c r="T779" s="39"/>
    </x:row>
    <x:row r="780">
      <x:c r="K780" s="39"/>
      <x:c r="L780" s="39"/>
      <x:c r="M780" s="39"/>
      <x:c r="N780" s="39"/>
      <x:c r="Q780" s="39"/>
      <x:c r="R780" s="39"/>
      <x:c r="S780" s="39"/>
      <x:c r="T780" s="39"/>
    </x:row>
    <x:row r="781">
      <x:c r="K781" s="39"/>
      <x:c r="L781" s="39"/>
      <x:c r="M781" s="39"/>
      <x:c r="N781" s="39"/>
      <x:c r="Q781" s="39"/>
      <x:c r="R781" s="39"/>
      <x:c r="S781" s="39"/>
      <x:c r="T781" s="39"/>
    </x:row>
    <x:row r="782">
      <x:c r="K782" s="39"/>
      <x:c r="L782" s="39"/>
      <x:c r="M782" s="39"/>
      <x:c r="N782" s="39"/>
      <x:c r="Q782" s="39"/>
      <x:c r="R782" s="39"/>
      <x:c r="S782" s="39"/>
      <x:c r="T782" s="39"/>
    </x:row>
    <x:row r="783">
      <x:c r="K783" s="39"/>
      <x:c r="L783" s="39"/>
      <x:c r="M783" s="39"/>
      <x:c r="N783" s="39"/>
      <x:c r="Q783" s="39"/>
      <x:c r="R783" s="39"/>
      <x:c r="S783" s="39"/>
      <x:c r="T783" s="39"/>
    </x:row>
    <x:row r="784">
      <x:c r="K784" s="39"/>
      <x:c r="L784" s="39"/>
      <x:c r="M784" s="39"/>
      <x:c r="N784" s="39"/>
      <x:c r="Q784" s="39"/>
      <x:c r="R784" s="39"/>
      <x:c r="S784" s="39"/>
      <x:c r="T784" s="39"/>
    </x:row>
    <x:row r="785">
      <x:c r="K785" s="39"/>
      <x:c r="L785" s="39"/>
      <x:c r="M785" s="39"/>
      <x:c r="N785" s="39"/>
      <x:c r="Q785" s="39"/>
      <x:c r="R785" s="39"/>
      <x:c r="S785" s="39"/>
      <x:c r="T785" s="39"/>
    </x:row>
    <x:row r="786">
      <x:c r="K786" s="39"/>
      <x:c r="L786" s="39"/>
      <x:c r="M786" s="39"/>
      <x:c r="N786" s="39"/>
      <x:c r="Q786" s="39"/>
      <x:c r="R786" s="39"/>
      <x:c r="S786" s="39"/>
      <x:c r="T786" s="39"/>
    </x:row>
    <x:row r="787">
      <x:c r="K787" s="39"/>
      <x:c r="L787" s="39"/>
      <x:c r="M787" s="39"/>
      <x:c r="N787" s="39"/>
      <x:c r="Q787" s="39"/>
      <x:c r="R787" s="39"/>
      <x:c r="S787" s="39"/>
      <x:c r="T787" s="39"/>
    </x:row>
    <x:row r="788">
      <x:c r="K788" s="39"/>
      <x:c r="L788" s="39"/>
      <x:c r="M788" s="39"/>
      <x:c r="N788" s="39"/>
      <x:c r="Q788" s="39"/>
      <x:c r="R788" s="39"/>
      <x:c r="S788" s="39"/>
      <x:c r="T788" s="39"/>
    </x:row>
    <x:row r="789">
      <x:c r="K789" s="39"/>
      <x:c r="L789" s="39"/>
      <x:c r="M789" s="39"/>
      <x:c r="N789" s="39"/>
      <x:c r="Q789" s="39"/>
      <x:c r="R789" s="39"/>
      <x:c r="S789" s="39"/>
      <x:c r="T789" s="39"/>
    </x:row>
    <x:row r="790">
      <x:c r="K790" s="39"/>
      <x:c r="L790" s="39"/>
      <x:c r="M790" s="39"/>
      <x:c r="N790" s="39"/>
      <x:c r="Q790" s="39"/>
      <x:c r="R790" s="39"/>
      <x:c r="S790" s="39"/>
      <x:c r="T790" s="39"/>
    </x:row>
    <x:row r="791">
      <x:c r="K791" s="39"/>
      <x:c r="L791" s="39"/>
      <x:c r="M791" s="39"/>
      <x:c r="N791" s="39"/>
      <x:c r="Q791" s="39"/>
      <x:c r="R791" s="39"/>
      <x:c r="S791" s="39"/>
      <x:c r="T791" s="39"/>
    </x:row>
    <x:row r="792">
      <x:c r="K792" s="39"/>
      <x:c r="L792" s="39"/>
      <x:c r="M792" s="39"/>
      <x:c r="N792" s="39"/>
      <x:c r="Q792" s="39"/>
      <x:c r="R792" s="39"/>
      <x:c r="S792" s="39"/>
      <x:c r="T792" s="39"/>
    </x:row>
    <x:row r="793">
      <x:c r="K793" s="39"/>
      <x:c r="L793" s="39"/>
      <x:c r="M793" s="39"/>
      <x:c r="N793" s="39"/>
      <x:c r="Q793" s="39"/>
      <x:c r="R793" s="39"/>
      <x:c r="S793" s="39"/>
      <x:c r="T793" s="39"/>
    </x:row>
    <x:row r="794">
      <x:c r="K794" s="39"/>
      <x:c r="L794" s="39"/>
      <x:c r="M794" s="39"/>
      <x:c r="N794" s="39"/>
      <x:c r="Q794" s="39"/>
      <x:c r="R794" s="39"/>
      <x:c r="S794" s="39"/>
      <x:c r="T794" s="39"/>
    </x:row>
    <x:row r="795">
      <x:c r="K795" s="39"/>
      <x:c r="L795" s="39"/>
      <x:c r="M795" s="39"/>
      <x:c r="N795" s="39"/>
      <x:c r="Q795" s="39"/>
      <x:c r="R795" s="39"/>
      <x:c r="S795" s="39"/>
      <x:c r="T795" s="39"/>
    </x:row>
    <x:row r="796">
      <x:c r="K796" s="39"/>
      <x:c r="L796" s="39"/>
      <x:c r="M796" s="39"/>
      <x:c r="N796" s="39"/>
      <x:c r="Q796" s="39"/>
      <x:c r="R796" s="39"/>
      <x:c r="S796" s="39"/>
      <x:c r="T796" s="39"/>
    </x:row>
    <x:row r="797">
      <x:c r="K797" s="39"/>
      <x:c r="L797" s="39"/>
      <x:c r="M797" s="39"/>
      <x:c r="N797" s="39"/>
      <x:c r="Q797" s="39"/>
      <x:c r="R797" s="39"/>
      <x:c r="S797" s="39"/>
      <x:c r="T797" s="39"/>
    </x:row>
    <x:row r="798">
      <x:c r="K798" s="39"/>
      <x:c r="L798" s="39"/>
      <x:c r="M798" s="39"/>
      <x:c r="N798" s="39"/>
      <x:c r="Q798" s="39"/>
      <x:c r="R798" s="39"/>
      <x:c r="S798" s="39"/>
      <x:c r="T798" s="39"/>
    </x:row>
    <x:row r="799">
      <x:c r="K799" s="39"/>
      <x:c r="L799" s="39"/>
      <x:c r="M799" s="39"/>
      <x:c r="N799" s="39"/>
      <x:c r="Q799" s="39"/>
      <x:c r="R799" s="39"/>
      <x:c r="S799" s="39"/>
      <x:c r="T799" s="39"/>
    </x:row>
    <x:row r="800">
      <x:c r="K800" s="39"/>
      <x:c r="L800" s="39"/>
      <x:c r="M800" s="39"/>
      <x:c r="N800" s="39"/>
      <x:c r="Q800" s="39"/>
      <x:c r="R800" s="39"/>
      <x:c r="S800" s="39"/>
      <x:c r="T800" s="39"/>
    </x:row>
    <x:row r="801">
      <x:c r="K801" s="39"/>
      <x:c r="L801" s="39"/>
      <x:c r="M801" s="39"/>
      <x:c r="N801" s="39"/>
      <x:c r="Q801" s="39"/>
      <x:c r="R801" s="39"/>
      <x:c r="S801" s="39"/>
      <x:c r="T801" s="39"/>
    </x:row>
    <x:row r="802">
      <x:c r="K802" s="39"/>
      <x:c r="L802" s="39"/>
      <x:c r="M802" s="39"/>
      <x:c r="N802" s="39"/>
      <x:c r="Q802" s="39"/>
      <x:c r="R802" s="39"/>
      <x:c r="S802" s="39"/>
      <x:c r="T802" s="39"/>
    </x:row>
    <x:row r="803">
      <x:c r="K803" s="39"/>
      <x:c r="L803" s="39"/>
      <x:c r="M803" s="39"/>
      <x:c r="N803" s="39"/>
      <x:c r="Q803" s="39"/>
      <x:c r="R803" s="39"/>
      <x:c r="S803" s="39"/>
      <x:c r="T803" s="39"/>
    </x:row>
    <x:row r="804">
      <x:c r="K804" s="39"/>
      <x:c r="L804" s="39"/>
      <x:c r="M804" s="39"/>
      <x:c r="N804" s="39"/>
      <x:c r="Q804" s="39"/>
      <x:c r="R804" s="39"/>
      <x:c r="S804" s="39"/>
      <x:c r="T804" s="39"/>
    </x:row>
    <x:row r="805">
      <x:c r="K805" s="39"/>
      <x:c r="L805" s="39"/>
      <x:c r="M805" s="39"/>
      <x:c r="N805" s="39"/>
      <x:c r="Q805" s="39"/>
      <x:c r="R805" s="39"/>
      <x:c r="S805" s="39"/>
      <x:c r="T805" s="39"/>
    </x:row>
    <x:row r="806">
      <x:c r="K806" s="39"/>
      <x:c r="L806" s="39"/>
      <x:c r="M806" s="39"/>
      <x:c r="N806" s="39"/>
      <x:c r="Q806" s="39"/>
      <x:c r="R806" s="39"/>
      <x:c r="S806" s="39"/>
      <x:c r="T806" s="39"/>
    </x:row>
    <x:row r="807">
      <x:c r="K807" s="39"/>
      <x:c r="L807" s="39"/>
      <x:c r="M807" s="39"/>
      <x:c r="N807" s="39"/>
      <x:c r="Q807" s="39"/>
      <x:c r="R807" s="39"/>
      <x:c r="S807" s="39"/>
      <x:c r="T807" s="39"/>
    </x:row>
    <x:row r="808">
      <x:c r="K808" s="39"/>
      <x:c r="L808" s="39"/>
      <x:c r="M808" s="39"/>
      <x:c r="N808" s="39"/>
      <x:c r="Q808" s="39"/>
      <x:c r="R808" s="39"/>
      <x:c r="S808" s="39"/>
      <x:c r="T808" s="39"/>
    </x:row>
    <x:row r="809">
      <x:c r="K809" s="39"/>
      <x:c r="L809" s="39"/>
      <x:c r="M809" s="39"/>
      <x:c r="N809" s="39"/>
      <x:c r="Q809" s="39"/>
      <x:c r="R809" s="39"/>
      <x:c r="S809" s="39"/>
      <x:c r="T809" s="39"/>
    </x:row>
    <x:row r="810">
      <x:c r="K810" s="39"/>
      <x:c r="L810" s="39"/>
      <x:c r="M810" s="39"/>
      <x:c r="N810" s="39"/>
      <x:c r="Q810" s="39"/>
      <x:c r="R810" s="39"/>
      <x:c r="S810" s="39"/>
      <x:c r="T810" s="39"/>
    </x:row>
    <x:row r="811">
      <x:c r="K811" s="39"/>
      <x:c r="L811" s="39"/>
      <x:c r="M811" s="39"/>
      <x:c r="N811" s="39"/>
      <x:c r="Q811" s="39"/>
      <x:c r="R811" s="39"/>
      <x:c r="S811" s="39"/>
      <x:c r="T811" s="39"/>
    </x:row>
    <x:row r="812">
      <x:c r="K812" s="39"/>
      <x:c r="L812" s="39"/>
      <x:c r="M812" s="39"/>
      <x:c r="N812" s="39"/>
      <x:c r="Q812" s="39"/>
      <x:c r="R812" s="39"/>
      <x:c r="S812" s="39"/>
      <x:c r="T812" s="39"/>
    </x:row>
    <x:row r="813">
      <x:c r="K813" s="39"/>
      <x:c r="L813" s="39"/>
      <x:c r="M813" s="39"/>
      <x:c r="N813" s="39"/>
      <x:c r="Q813" s="39"/>
      <x:c r="R813" s="39"/>
      <x:c r="S813" s="39"/>
      <x:c r="T813" s="39"/>
    </x:row>
    <x:row r="814">
      <x:c r="K814" s="39"/>
      <x:c r="L814" s="39"/>
      <x:c r="M814" s="39"/>
      <x:c r="N814" s="39"/>
      <x:c r="Q814" s="39"/>
      <x:c r="R814" s="39"/>
      <x:c r="S814" s="39"/>
      <x:c r="T814" s="39"/>
    </x:row>
    <x:row r="815">
      <x:c r="K815" s="39"/>
      <x:c r="L815" s="39"/>
      <x:c r="M815" s="39"/>
      <x:c r="N815" s="39"/>
      <x:c r="Q815" s="39"/>
      <x:c r="R815" s="39"/>
      <x:c r="S815" s="39"/>
      <x:c r="T815" s="39"/>
    </x:row>
    <x:row r="816">
      <x:c r="K816" s="39"/>
      <x:c r="L816" s="39"/>
      <x:c r="M816" s="39"/>
      <x:c r="N816" s="39"/>
      <x:c r="Q816" s="39"/>
      <x:c r="R816" s="39"/>
      <x:c r="S816" s="39"/>
      <x:c r="T816" s="39"/>
    </x:row>
    <x:row r="817">
      <x:c r="K817" s="39"/>
      <x:c r="L817" s="39"/>
      <x:c r="M817" s="39"/>
      <x:c r="N817" s="39"/>
      <x:c r="Q817" s="39"/>
      <x:c r="R817" s="39"/>
      <x:c r="S817" s="39"/>
      <x:c r="T817" s="39"/>
    </x:row>
    <x:row r="818">
      <x:c r="K818" s="39"/>
      <x:c r="L818" s="39"/>
      <x:c r="M818" s="39"/>
      <x:c r="N818" s="39"/>
      <x:c r="Q818" s="39"/>
      <x:c r="R818" s="39"/>
      <x:c r="S818" s="39"/>
      <x:c r="T818" s="39"/>
    </x:row>
    <x:row r="819">
      <x:c r="K819" s="39"/>
      <x:c r="L819" s="39"/>
      <x:c r="M819" s="39"/>
      <x:c r="N819" s="39"/>
      <x:c r="Q819" s="39"/>
      <x:c r="R819" s="39"/>
      <x:c r="S819" s="39"/>
      <x:c r="T819" s="39"/>
    </x:row>
    <x:row r="820">
      <x:c r="K820" s="39"/>
      <x:c r="L820" s="39"/>
      <x:c r="M820" s="39"/>
      <x:c r="N820" s="39"/>
      <x:c r="Q820" s="39"/>
      <x:c r="R820" s="39"/>
      <x:c r="S820" s="39"/>
      <x:c r="T820" s="39"/>
    </x:row>
    <x:row r="821">
      <x:c r="K821" s="39"/>
      <x:c r="L821" s="39"/>
      <x:c r="M821" s="39"/>
      <x:c r="N821" s="39"/>
      <x:c r="Q821" s="39"/>
      <x:c r="R821" s="39"/>
      <x:c r="S821" s="39"/>
      <x:c r="T821" s="39"/>
    </x:row>
    <x:row r="822">
      <x:c r="K822" s="39"/>
      <x:c r="L822" s="39"/>
      <x:c r="M822" s="39"/>
      <x:c r="N822" s="39"/>
      <x:c r="Q822" s="39"/>
      <x:c r="R822" s="39"/>
      <x:c r="S822" s="39"/>
      <x:c r="T822" s="39"/>
    </x:row>
    <x:row r="823">
      <x:c r="K823" s="39"/>
      <x:c r="L823" s="39"/>
      <x:c r="M823" s="39"/>
      <x:c r="N823" s="39"/>
      <x:c r="Q823" s="39"/>
      <x:c r="R823" s="39"/>
      <x:c r="S823" s="39"/>
      <x:c r="T823" s="39"/>
    </x:row>
    <x:row r="824">
      <x:c r="K824" s="39"/>
      <x:c r="L824" s="39"/>
      <x:c r="M824" s="39"/>
      <x:c r="N824" s="39"/>
      <x:c r="Q824" s="39"/>
      <x:c r="R824" s="39"/>
      <x:c r="S824" s="39"/>
      <x:c r="T824" s="39"/>
    </x:row>
    <x:row r="825">
      <x:c r="K825" s="39"/>
      <x:c r="L825" s="39"/>
      <x:c r="M825" s="39"/>
      <x:c r="N825" s="39"/>
      <x:c r="Q825" s="39"/>
      <x:c r="R825" s="39"/>
      <x:c r="S825" s="39"/>
      <x:c r="T825" s="39"/>
    </x:row>
    <x:row r="826">
      <x:c r="K826" s="39"/>
      <x:c r="L826" s="39"/>
      <x:c r="M826" s="39"/>
      <x:c r="N826" s="39"/>
      <x:c r="Q826" s="39"/>
      <x:c r="R826" s="39"/>
      <x:c r="S826" s="39"/>
      <x:c r="T826" s="39"/>
    </x:row>
    <x:row r="827">
      <x:c r="K827" s="39"/>
      <x:c r="L827" s="39"/>
      <x:c r="M827" s="39"/>
      <x:c r="N827" s="39"/>
      <x:c r="Q827" s="39"/>
      <x:c r="R827" s="39"/>
      <x:c r="S827" s="39"/>
      <x:c r="T827" s="39"/>
    </x:row>
    <x:row r="828">
      <x:c r="K828" s="39"/>
      <x:c r="L828" s="39"/>
      <x:c r="M828" s="39"/>
      <x:c r="N828" s="39"/>
      <x:c r="Q828" s="39"/>
      <x:c r="R828" s="39"/>
      <x:c r="S828" s="39"/>
      <x:c r="T828" s="39"/>
    </x:row>
    <x:row r="829">
      <x:c r="K829" s="39"/>
      <x:c r="L829" s="39"/>
      <x:c r="M829" s="39"/>
      <x:c r="N829" s="39"/>
      <x:c r="Q829" s="39"/>
      <x:c r="R829" s="39"/>
      <x:c r="S829" s="39"/>
      <x:c r="T829" s="39"/>
    </x:row>
    <x:row r="830">
      <x:c r="K830" s="39"/>
      <x:c r="L830" s="39"/>
      <x:c r="M830" s="39"/>
      <x:c r="N830" s="39"/>
      <x:c r="Q830" s="39"/>
      <x:c r="R830" s="39"/>
      <x:c r="S830" s="39"/>
      <x:c r="T830" s="39"/>
    </x:row>
    <x:row r="831">
      <x:c r="K831" s="39"/>
      <x:c r="L831" s="39"/>
      <x:c r="M831" s="39"/>
      <x:c r="N831" s="39"/>
      <x:c r="Q831" s="39"/>
      <x:c r="R831" s="39"/>
      <x:c r="S831" s="39"/>
      <x:c r="T831" s="39"/>
    </x:row>
    <x:row r="832">
      <x:c r="K832" s="39"/>
      <x:c r="L832" s="39"/>
      <x:c r="M832" s="39"/>
      <x:c r="N832" s="39"/>
      <x:c r="Q832" s="39"/>
      <x:c r="R832" s="39"/>
      <x:c r="S832" s="39"/>
      <x:c r="T832" s="39"/>
    </x:row>
    <x:row r="833">
      <x:c r="K833" s="39"/>
      <x:c r="L833" s="39"/>
      <x:c r="M833" s="39"/>
      <x:c r="N833" s="39"/>
      <x:c r="Q833" s="39"/>
      <x:c r="R833" s="39"/>
      <x:c r="S833" s="39"/>
      <x:c r="T833" s="39"/>
    </x:row>
    <x:row r="834">
      <x:c r="K834" s="39"/>
      <x:c r="L834" s="39"/>
      <x:c r="M834" s="39"/>
      <x:c r="N834" s="39"/>
      <x:c r="Q834" s="39"/>
      <x:c r="R834" s="39"/>
      <x:c r="S834" s="39"/>
      <x:c r="T834" s="39"/>
    </x:row>
    <x:row r="835">
      <x:c r="K835" s="39"/>
      <x:c r="L835" s="39"/>
      <x:c r="M835" s="39"/>
      <x:c r="N835" s="39"/>
      <x:c r="Q835" s="39"/>
      <x:c r="R835" s="39"/>
      <x:c r="S835" s="39"/>
      <x:c r="T835" s="39"/>
    </x:row>
    <x:row r="836">
      <x:c r="K836" s="39"/>
      <x:c r="L836" s="39"/>
      <x:c r="M836" s="39"/>
      <x:c r="N836" s="39"/>
      <x:c r="Q836" s="39"/>
      <x:c r="R836" s="39"/>
      <x:c r="S836" s="39"/>
      <x:c r="T836" s="39"/>
    </x:row>
    <x:row r="837">
      <x:c r="K837" s="39"/>
      <x:c r="L837" s="39"/>
      <x:c r="M837" s="39"/>
      <x:c r="N837" s="39"/>
      <x:c r="Q837" s="39"/>
      <x:c r="R837" s="39"/>
      <x:c r="S837" s="39"/>
      <x:c r="T837" s="39"/>
    </x:row>
    <x:row r="838">
      <x:c r="K838" s="39"/>
      <x:c r="L838" s="39"/>
      <x:c r="M838" s="39"/>
      <x:c r="N838" s="39"/>
      <x:c r="Q838" s="39"/>
      <x:c r="R838" s="39"/>
      <x:c r="S838" s="39"/>
      <x:c r="T838" s="39"/>
    </x:row>
    <x:row r="839">
      <x:c r="K839" s="39"/>
      <x:c r="L839" s="39"/>
      <x:c r="M839" s="39"/>
      <x:c r="N839" s="39"/>
      <x:c r="Q839" s="39"/>
      <x:c r="R839" s="39"/>
      <x:c r="S839" s="39"/>
      <x:c r="T839" s="39"/>
    </x:row>
    <x:row r="840">
      <x:c r="K840" s="39"/>
      <x:c r="L840" s="39"/>
      <x:c r="M840" s="39"/>
      <x:c r="N840" s="39"/>
      <x:c r="Q840" s="39"/>
      <x:c r="R840" s="39"/>
      <x:c r="S840" s="39"/>
      <x:c r="T840" s="39"/>
    </x:row>
    <x:row r="841">
      <x:c r="K841" s="39"/>
      <x:c r="L841" s="39"/>
      <x:c r="M841" s="39"/>
      <x:c r="N841" s="39"/>
      <x:c r="Q841" s="39"/>
      <x:c r="R841" s="39"/>
      <x:c r="S841" s="39"/>
      <x:c r="T841" s="39"/>
    </x:row>
    <x:row r="842">
      <x:c r="K842" s="39"/>
      <x:c r="L842" s="39"/>
      <x:c r="M842" s="39"/>
      <x:c r="N842" s="39"/>
      <x:c r="Q842" s="39"/>
      <x:c r="R842" s="39"/>
      <x:c r="S842" s="39"/>
      <x:c r="T842" s="39"/>
    </x:row>
    <x:row r="843">
      <x:c r="K843" s="39"/>
      <x:c r="L843" s="39"/>
      <x:c r="M843" s="39"/>
      <x:c r="N843" s="39"/>
      <x:c r="Q843" s="39"/>
      <x:c r="R843" s="39"/>
      <x:c r="S843" s="39"/>
      <x:c r="T843" s="39"/>
    </x:row>
    <x:row r="844">
      <x:c r="K844" s="39"/>
      <x:c r="L844" s="39"/>
      <x:c r="M844" s="39"/>
      <x:c r="N844" s="39"/>
      <x:c r="Q844" s="39"/>
      <x:c r="R844" s="39"/>
      <x:c r="S844" s="39"/>
      <x:c r="T844" s="39"/>
    </x:row>
    <x:row r="845">
      <x:c r="K845" s="39"/>
      <x:c r="L845" s="39"/>
      <x:c r="M845" s="39"/>
      <x:c r="N845" s="39"/>
      <x:c r="Q845" s="39"/>
      <x:c r="R845" s="39"/>
      <x:c r="S845" s="39"/>
      <x:c r="T845" s="39"/>
    </x:row>
    <x:row r="846">
      <x:c r="K846" s="39"/>
      <x:c r="L846" s="39"/>
      <x:c r="M846" s="39"/>
      <x:c r="N846" s="39"/>
      <x:c r="Q846" s="39"/>
      <x:c r="R846" s="39"/>
      <x:c r="S846" s="39"/>
      <x:c r="T846" s="39"/>
    </x:row>
    <x:row r="847">
      <x:c r="K847" s="39"/>
      <x:c r="L847" s="39"/>
      <x:c r="M847" s="39"/>
      <x:c r="N847" s="39"/>
      <x:c r="Q847" s="39"/>
      <x:c r="R847" s="39"/>
      <x:c r="S847" s="39"/>
      <x:c r="T847" s="39"/>
    </x:row>
    <x:row r="848">
      <x:c r="K848" s="39"/>
      <x:c r="L848" s="39"/>
      <x:c r="M848" s="39"/>
      <x:c r="N848" s="39"/>
      <x:c r="Q848" s="39"/>
      <x:c r="R848" s="39"/>
      <x:c r="S848" s="39"/>
      <x:c r="T848" s="39"/>
    </x:row>
    <x:row r="849">
      <x:c r="K849" s="39"/>
      <x:c r="L849" s="39"/>
      <x:c r="M849" s="39"/>
      <x:c r="N849" s="39"/>
      <x:c r="Q849" s="39"/>
      <x:c r="R849" s="39"/>
      <x:c r="S849" s="39"/>
      <x:c r="T849" s="39"/>
    </x:row>
    <x:row r="850">
      <x:c r="K850" s="39"/>
      <x:c r="L850" s="39"/>
      <x:c r="M850" s="39"/>
      <x:c r="N850" s="39"/>
      <x:c r="Q850" s="39"/>
      <x:c r="R850" s="39"/>
      <x:c r="S850" s="39"/>
      <x:c r="T850" s="39"/>
    </x:row>
    <x:row r="851">
      <x:c r="K851" s="39"/>
      <x:c r="L851" s="39"/>
      <x:c r="M851" s="39"/>
      <x:c r="N851" s="39"/>
      <x:c r="Q851" s="39"/>
      <x:c r="R851" s="39"/>
      <x:c r="S851" s="39"/>
      <x:c r="T851" s="39"/>
    </x:row>
    <x:row r="852">
      <x:c r="K852" s="39"/>
      <x:c r="L852" s="39"/>
      <x:c r="M852" s="39"/>
      <x:c r="N852" s="39"/>
      <x:c r="Q852" s="39"/>
      <x:c r="R852" s="39"/>
      <x:c r="S852" s="39"/>
      <x:c r="T852" s="39"/>
    </x:row>
    <x:row r="853">
      <x:c r="K853" s="39"/>
      <x:c r="L853" s="39"/>
      <x:c r="M853" s="39"/>
      <x:c r="N853" s="39"/>
      <x:c r="Q853" s="39"/>
      <x:c r="R853" s="39"/>
      <x:c r="S853" s="39"/>
      <x:c r="T853" s="39"/>
    </x:row>
    <x:row r="854">
      <x:c r="K854" s="39"/>
      <x:c r="L854" s="39"/>
      <x:c r="M854" s="39"/>
      <x:c r="N854" s="39"/>
      <x:c r="Q854" s="39"/>
      <x:c r="R854" s="39"/>
      <x:c r="S854" s="39"/>
      <x:c r="T854" s="39"/>
    </x:row>
    <x:row r="855">
      <x:c r="K855" s="39"/>
      <x:c r="L855" s="39"/>
      <x:c r="M855" s="39"/>
      <x:c r="N855" s="39"/>
      <x:c r="Q855" s="39"/>
      <x:c r="R855" s="39"/>
      <x:c r="S855" s="39"/>
      <x:c r="T855" s="39"/>
    </x:row>
    <x:row r="856">
      <x:c r="K856" s="39"/>
      <x:c r="L856" s="39"/>
      <x:c r="M856" s="39"/>
      <x:c r="N856" s="39"/>
      <x:c r="Q856" s="39"/>
      <x:c r="R856" s="39"/>
      <x:c r="S856" s="39"/>
      <x:c r="T856" s="39"/>
    </x:row>
    <x:row r="857">
      <x:c r="K857" s="39"/>
      <x:c r="L857" s="39"/>
      <x:c r="M857" s="39"/>
      <x:c r="N857" s="39"/>
      <x:c r="Q857" s="39"/>
      <x:c r="R857" s="39"/>
      <x:c r="S857" s="39"/>
      <x:c r="T857" s="39"/>
    </x:row>
    <x:row r="858">
      <x:c r="K858" s="39"/>
      <x:c r="L858" s="39"/>
      <x:c r="M858" s="39"/>
      <x:c r="N858" s="39"/>
      <x:c r="Q858" s="39"/>
      <x:c r="R858" s="39"/>
      <x:c r="S858" s="39"/>
      <x:c r="T858" s="39"/>
    </x:row>
    <x:row r="859">
      <x:c r="K859" s="39"/>
      <x:c r="L859" s="39"/>
      <x:c r="M859" s="39"/>
      <x:c r="N859" s="39"/>
      <x:c r="Q859" s="39"/>
      <x:c r="R859" s="39"/>
      <x:c r="S859" s="39"/>
      <x:c r="T859" s="39"/>
    </x:row>
    <x:row r="860">
      <x:c r="K860" s="39"/>
      <x:c r="L860" s="39"/>
      <x:c r="M860" s="39"/>
      <x:c r="N860" s="39"/>
      <x:c r="Q860" s="39"/>
      <x:c r="R860" s="39"/>
      <x:c r="S860" s="39"/>
      <x:c r="T860" s="39"/>
    </x:row>
    <x:row r="861">
      <x:c r="K861" s="39"/>
      <x:c r="L861" s="39"/>
      <x:c r="M861" s="39"/>
      <x:c r="N861" s="39"/>
      <x:c r="Q861" s="39"/>
      <x:c r="R861" s="39"/>
      <x:c r="S861" s="39"/>
      <x:c r="T861" s="39"/>
    </x:row>
    <x:row r="862">
      <x:c r="K862" s="39"/>
      <x:c r="L862" s="39"/>
      <x:c r="M862" s="39"/>
      <x:c r="N862" s="39"/>
      <x:c r="Q862" s="39"/>
      <x:c r="R862" s="39"/>
      <x:c r="S862" s="39"/>
      <x:c r="T862" s="39"/>
    </x:row>
    <x:row r="863">
      <x:c r="K863" s="39"/>
      <x:c r="L863" s="39"/>
      <x:c r="M863" s="39"/>
      <x:c r="N863" s="39"/>
      <x:c r="Q863" s="39"/>
      <x:c r="R863" s="39"/>
      <x:c r="S863" s="39"/>
      <x:c r="T863" s="39"/>
    </x:row>
    <x:row r="864">
      <x:c r="K864" s="39"/>
      <x:c r="L864" s="39"/>
      <x:c r="M864" s="39"/>
      <x:c r="N864" s="39"/>
      <x:c r="Q864" s="39"/>
      <x:c r="R864" s="39"/>
      <x:c r="S864" s="39"/>
      <x:c r="T864" s="39"/>
    </x:row>
    <x:row r="865">
      <x:c r="K865" s="39"/>
      <x:c r="L865" s="39"/>
      <x:c r="M865" s="39"/>
      <x:c r="N865" s="39"/>
      <x:c r="Q865" s="39"/>
      <x:c r="R865" s="39"/>
      <x:c r="S865" s="39"/>
      <x:c r="T865" s="39"/>
    </x:row>
    <x:row r="866">
      <x:c r="K866" s="39"/>
      <x:c r="L866" s="39"/>
      <x:c r="M866" s="39"/>
      <x:c r="N866" s="39"/>
      <x:c r="Q866" s="39"/>
      <x:c r="R866" s="39"/>
      <x:c r="S866" s="39"/>
      <x:c r="T866" s="39"/>
    </x:row>
    <x:row r="867">
      <x:c r="K867" s="39"/>
      <x:c r="L867" s="39"/>
      <x:c r="M867" s="39"/>
      <x:c r="N867" s="39"/>
      <x:c r="Q867" s="39"/>
      <x:c r="R867" s="39"/>
      <x:c r="S867" s="39"/>
      <x:c r="T867" s="39"/>
    </x:row>
    <x:row r="868">
      <x:c r="K868" s="39"/>
      <x:c r="L868" s="39"/>
      <x:c r="M868" s="39"/>
      <x:c r="N868" s="39"/>
      <x:c r="Q868" s="39"/>
      <x:c r="R868" s="39"/>
      <x:c r="S868" s="39"/>
      <x:c r="T868" s="39"/>
    </x:row>
    <x:row r="869">
      <x:c r="K869" s="39"/>
      <x:c r="L869" s="39"/>
      <x:c r="M869" s="39"/>
      <x:c r="N869" s="39"/>
      <x:c r="Q869" s="39"/>
      <x:c r="R869" s="39"/>
      <x:c r="S869" s="39"/>
      <x:c r="T869" s="39"/>
    </x:row>
    <x:row r="870">
      <x:c r="K870" s="39"/>
      <x:c r="L870" s="39"/>
      <x:c r="M870" s="39"/>
      <x:c r="N870" s="39"/>
      <x:c r="Q870" s="39"/>
      <x:c r="R870" s="39"/>
      <x:c r="S870" s="39"/>
      <x:c r="T870" s="39"/>
    </x:row>
    <x:row r="871">
      <x:c r="K871" s="39"/>
      <x:c r="L871" s="39"/>
      <x:c r="M871" s="39"/>
      <x:c r="N871" s="39"/>
      <x:c r="Q871" s="39"/>
      <x:c r="R871" s="39"/>
      <x:c r="S871" s="39"/>
      <x:c r="T871" s="39"/>
    </x:row>
    <x:row r="872">
      <x:c r="K872" s="39"/>
      <x:c r="L872" s="39"/>
      <x:c r="M872" s="39"/>
      <x:c r="N872" s="39"/>
      <x:c r="Q872" s="39"/>
      <x:c r="R872" s="39"/>
      <x:c r="S872" s="39"/>
      <x:c r="T872" s="39"/>
    </x:row>
    <x:row r="873">
      <x:c r="K873" s="39"/>
      <x:c r="L873" s="39"/>
      <x:c r="M873" s="39"/>
      <x:c r="N873" s="39"/>
      <x:c r="Q873" s="39"/>
      <x:c r="R873" s="39"/>
      <x:c r="S873" s="39"/>
      <x:c r="T873" s="39"/>
    </x:row>
    <x:row r="874">
      <x:c r="K874" s="39"/>
      <x:c r="L874" s="39"/>
      <x:c r="M874" s="39"/>
      <x:c r="N874" s="39"/>
      <x:c r="Q874" s="39"/>
      <x:c r="R874" s="39"/>
      <x:c r="S874" s="39"/>
      <x:c r="T874" s="39"/>
    </x:row>
    <x:row r="875">
      <x:c r="K875" s="39"/>
      <x:c r="L875" s="39"/>
      <x:c r="M875" s="39"/>
      <x:c r="N875" s="39"/>
      <x:c r="Q875" s="39"/>
      <x:c r="R875" s="39"/>
      <x:c r="S875" s="39"/>
      <x:c r="T875" s="39"/>
    </x:row>
    <x:row r="876">
      <x:c r="K876" s="39"/>
      <x:c r="L876" s="39"/>
      <x:c r="M876" s="39"/>
      <x:c r="N876" s="39"/>
      <x:c r="Q876" s="39"/>
      <x:c r="R876" s="39"/>
      <x:c r="S876" s="39"/>
      <x:c r="T876" s="39"/>
    </x:row>
    <x:row r="877">
      <x:c r="K877" s="39"/>
      <x:c r="L877" s="39"/>
      <x:c r="M877" s="39"/>
      <x:c r="N877" s="39"/>
      <x:c r="Q877" s="39"/>
      <x:c r="R877" s="39"/>
      <x:c r="S877" s="39"/>
      <x:c r="T877" s="39"/>
    </x:row>
    <x:row r="878">
      <x:c r="K878" s="39"/>
      <x:c r="L878" s="39"/>
      <x:c r="M878" s="39"/>
      <x:c r="N878" s="39"/>
      <x:c r="Q878" s="39"/>
      <x:c r="R878" s="39"/>
      <x:c r="S878" s="39"/>
      <x:c r="T878" s="39"/>
    </x:row>
    <x:row r="879">
      <x:c r="K879" s="39"/>
      <x:c r="L879" s="39"/>
      <x:c r="M879" s="39"/>
      <x:c r="N879" s="39"/>
      <x:c r="Q879" s="39"/>
      <x:c r="R879" s="39"/>
      <x:c r="S879" s="39"/>
      <x:c r="T879" s="39"/>
    </x:row>
    <x:row r="880">
      <x:c r="K880" s="39"/>
      <x:c r="L880" s="39"/>
      <x:c r="M880" s="39"/>
      <x:c r="N880" s="39"/>
      <x:c r="Q880" s="39"/>
      <x:c r="R880" s="39"/>
      <x:c r="S880" s="39"/>
      <x:c r="T880" s="39"/>
    </x:row>
    <x:row r="881">
      <x:c r="K881" s="39"/>
      <x:c r="L881" s="39"/>
      <x:c r="M881" s="39"/>
      <x:c r="N881" s="39"/>
      <x:c r="Q881" s="39"/>
      <x:c r="R881" s="39"/>
      <x:c r="S881" s="39"/>
      <x:c r="T881" s="39"/>
    </x:row>
    <x:row r="882">
      <x:c r="K882" s="39"/>
      <x:c r="L882" s="39"/>
      <x:c r="M882" s="39"/>
      <x:c r="N882" s="39"/>
      <x:c r="Q882" s="39"/>
      <x:c r="R882" s="39"/>
      <x:c r="S882" s="39"/>
      <x:c r="T882" s="39"/>
    </x:row>
    <x:row r="883">
      <x:c r="K883" s="39"/>
      <x:c r="L883" s="39"/>
      <x:c r="M883" s="39"/>
      <x:c r="N883" s="39"/>
      <x:c r="Q883" s="39"/>
      <x:c r="R883" s="39"/>
      <x:c r="S883" s="39"/>
      <x:c r="T883" s="39"/>
    </x:row>
    <x:row r="884">
      <x:c r="K884" s="39"/>
      <x:c r="L884" s="39"/>
      <x:c r="M884" s="39"/>
      <x:c r="N884" s="39"/>
      <x:c r="Q884" s="39"/>
      <x:c r="R884" s="39"/>
      <x:c r="S884" s="39"/>
      <x:c r="T884" s="39"/>
    </x:row>
    <x:row r="885">
      <x:c r="K885" s="39"/>
      <x:c r="L885" s="39"/>
      <x:c r="M885" s="39"/>
      <x:c r="N885" s="39"/>
      <x:c r="Q885" s="39"/>
      <x:c r="R885" s="39"/>
      <x:c r="S885" s="39"/>
      <x:c r="T885" s="39"/>
    </x:row>
    <x:row r="886">
      <x:c r="K886" s="39"/>
      <x:c r="L886" s="39"/>
      <x:c r="M886" s="39"/>
      <x:c r="N886" s="39"/>
      <x:c r="Q886" s="39"/>
      <x:c r="R886" s="39"/>
      <x:c r="S886" s="39"/>
      <x:c r="T886" s="39"/>
    </x:row>
    <x:row r="887">
      <x:c r="K887" s="39"/>
      <x:c r="L887" s="39"/>
      <x:c r="M887" s="39"/>
      <x:c r="N887" s="39"/>
      <x:c r="Q887" s="39"/>
      <x:c r="R887" s="39"/>
      <x:c r="S887" s="39"/>
      <x:c r="T887" s="39"/>
    </x:row>
    <x:row r="888">
      <x:c r="K888" s="39"/>
      <x:c r="L888" s="39"/>
      <x:c r="M888" s="39"/>
      <x:c r="N888" s="39"/>
      <x:c r="Q888" s="39"/>
      <x:c r="R888" s="39"/>
      <x:c r="S888" s="39"/>
      <x:c r="T888" s="39"/>
    </x:row>
    <x:row r="889">
      <x:c r="K889" s="39"/>
      <x:c r="L889" s="39"/>
      <x:c r="M889" s="39"/>
      <x:c r="N889" s="39"/>
      <x:c r="Q889" s="39"/>
      <x:c r="R889" s="39"/>
      <x:c r="S889" s="39"/>
      <x:c r="T889" s="39"/>
    </x:row>
    <x:row r="890">
      <x:c r="K890" s="39"/>
      <x:c r="L890" s="39"/>
      <x:c r="M890" s="39"/>
      <x:c r="N890" s="39"/>
      <x:c r="Q890" s="39"/>
      <x:c r="R890" s="39"/>
      <x:c r="S890" s="39"/>
      <x:c r="T890" s="39"/>
    </x:row>
    <x:row r="891">
      <x:c r="K891" s="39"/>
      <x:c r="L891" s="39"/>
      <x:c r="M891" s="39"/>
      <x:c r="N891" s="39"/>
      <x:c r="Q891" s="39"/>
      <x:c r="R891" s="39"/>
      <x:c r="S891" s="39"/>
      <x:c r="T891" s="39"/>
    </x:row>
    <x:row r="892">
      <x:c r="K892" s="39"/>
      <x:c r="L892" s="39"/>
      <x:c r="M892" s="39"/>
      <x:c r="N892" s="39"/>
      <x:c r="Q892" s="39"/>
      <x:c r="R892" s="39"/>
      <x:c r="S892" s="39"/>
      <x:c r="T892" s="39"/>
    </x:row>
    <x:row r="893">
      <x:c r="K893" s="39"/>
      <x:c r="L893" s="39"/>
      <x:c r="M893" s="39"/>
      <x:c r="N893" s="39"/>
      <x:c r="Q893" s="39"/>
      <x:c r="R893" s="39"/>
      <x:c r="S893" s="39"/>
      <x:c r="T893" s="39"/>
    </x:row>
    <x:row r="894">
      <x:c r="K894" s="39"/>
      <x:c r="L894" s="39"/>
      <x:c r="M894" s="39"/>
      <x:c r="N894" s="39"/>
      <x:c r="Q894" s="39"/>
      <x:c r="R894" s="39"/>
      <x:c r="S894" s="39"/>
      <x:c r="T894" s="39"/>
    </x:row>
    <x:row r="895">
      <x:c r="K895" s="39"/>
      <x:c r="L895" s="39"/>
      <x:c r="M895" s="39"/>
      <x:c r="N895" s="39"/>
      <x:c r="Q895" s="39"/>
      <x:c r="R895" s="39"/>
      <x:c r="S895" s="39"/>
      <x:c r="T895" s="39"/>
    </x:row>
    <x:row r="896">
      <x:c r="K896" s="39"/>
      <x:c r="L896" s="39"/>
      <x:c r="M896" s="39"/>
      <x:c r="N896" s="39"/>
      <x:c r="Q896" s="39"/>
      <x:c r="R896" s="39"/>
      <x:c r="S896" s="39"/>
      <x:c r="T896" s="39"/>
    </x:row>
    <x:row r="897">
      <x:c r="K897" s="39"/>
      <x:c r="L897" s="39"/>
      <x:c r="M897" s="39"/>
      <x:c r="N897" s="39"/>
      <x:c r="Q897" s="39"/>
      <x:c r="R897" s="39"/>
      <x:c r="S897" s="39"/>
      <x:c r="T897" s="39"/>
    </x:row>
    <x:row r="898">
      <x:c r="K898" s="39"/>
      <x:c r="L898" s="39"/>
      <x:c r="M898" s="39"/>
      <x:c r="N898" s="39"/>
      <x:c r="Q898" s="39"/>
      <x:c r="R898" s="39"/>
      <x:c r="S898" s="39"/>
      <x:c r="T898" s="39"/>
    </x:row>
    <x:row r="899">
      <x:c r="K899" s="39"/>
      <x:c r="L899" s="39"/>
      <x:c r="M899" s="39"/>
      <x:c r="N899" s="39"/>
      <x:c r="Q899" s="39"/>
      <x:c r="R899" s="39"/>
      <x:c r="S899" s="39"/>
      <x:c r="T899" s="39"/>
    </x:row>
    <x:row r="900">
      <x:c r="K900" s="39"/>
      <x:c r="L900" s="39"/>
      <x:c r="M900" s="39"/>
      <x:c r="N900" s="39"/>
      <x:c r="Q900" s="39"/>
      <x:c r="R900" s="39"/>
      <x:c r="S900" s="39"/>
      <x:c r="T900" s="39"/>
    </x:row>
    <x:row r="901">
      <x:c r="K901" s="39"/>
      <x:c r="L901" s="39"/>
      <x:c r="M901" s="39"/>
      <x:c r="N901" s="39"/>
      <x:c r="Q901" s="39"/>
      <x:c r="R901" s="39"/>
      <x:c r="S901" s="39"/>
      <x:c r="T901" s="39"/>
    </x:row>
    <x:row r="902">
      <x:c r="K902" s="39"/>
      <x:c r="L902" s="39"/>
      <x:c r="M902" s="39"/>
      <x:c r="N902" s="39"/>
      <x:c r="Q902" s="39"/>
      <x:c r="R902" s="39"/>
      <x:c r="S902" s="39"/>
      <x:c r="T902" s="39"/>
    </x:row>
    <x:row r="903">
      <x:c r="K903" s="39"/>
      <x:c r="L903" s="39"/>
      <x:c r="M903" s="39"/>
      <x:c r="N903" s="39"/>
      <x:c r="Q903" s="39"/>
      <x:c r="R903" s="39"/>
      <x:c r="S903" s="39"/>
      <x:c r="T903" s="39"/>
    </x:row>
    <x:row r="904">
      <x:c r="K904" s="39"/>
      <x:c r="L904" s="39"/>
      <x:c r="M904" s="39"/>
      <x:c r="N904" s="39"/>
      <x:c r="Q904" s="39"/>
      <x:c r="R904" s="39"/>
      <x:c r="S904" s="39"/>
      <x:c r="T904" s="39"/>
    </x:row>
    <x:row r="905">
      <x:c r="K905" s="39"/>
      <x:c r="L905" s="39"/>
      <x:c r="M905" s="39"/>
      <x:c r="N905" s="39"/>
      <x:c r="Q905" s="39"/>
      <x:c r="R905" s="39"/>
      <x:c r="S905" s="39"/>
      <x:c r="T905" s="39"/>
    </x:row>
    <x:row r="906">
      <x:c r="K906" s="39"/>
      <x:c r="L906" s="39"/>
      <x:c r="M906" s="39"/>
      <x:c r="N906" s="39"/>
      <x:c r="Q906" s="39"/>
      <x:c r="R906" s="39"/>
      <x:c r="S906" s="39"/>
      <x:c r="T906" s="39"/>
    </x:row>
    <x:row r="907">
      <x:c r="K907" s="39"/>
      <x:c r="L907" s="39"/>
      <x:c r="M907" s="39"/>
      <x:c r="N907" s="39"/>
      <x:c r="Q907" s="39"/>
      <x:c r="R907" s="39"/>
      <x:c r="S907" s="39"/>
      <x:c r="T907" s="39"/>
    </x:row>
    <x:row r="908">
      <x:c r="K908" s="39"/>
      <x:c r="L908" s="39"/>
      <x:c r="M908" s="39"/>
      <x:c r="N908" s="39"/>
      <x:c r="Q908" s="39"/>
      <x:c r="R908" s="39"/>
      <x:c r="S908" s="39"/>
      <x:c r="T908" s="39"/>
    </x:row>
    <x:row r="909">
      <x:c r="K909" s="39"/>
      <x:c r="L909" s="39"/>
      <x:c r="M909" s="39"/>
      <x:c r="N909" s="39"/>
      <x:c r="Q909" s="39"/>
      <x:c r="R909" s="39"/>
      <x:c r="S909" s="39"/>
      <x:c r="T909" s="39"/>
    </x:row>
    <x:row r="910">
      <x:c r="K910" s="39"/>
      <x:c r="L910" s="39"/>
      <x:c r="M910" s="39"/>
      <x:c r="N910" s="39"/>
      <x:c r="Q910" s="39"/>
      <x:c r="R910" s="39"/>
      <x:c r="S910" s="39"/>
      <x:c r="T910" s="39"/>
    </x:row>
    <x:row r="911">
      <x:c r="K911" s="39"/>
      <x:c r="L911" s="39"/>
      <x:c r="M911" s="39"/>
      <x:c r="N911" s="39"/>
      <x:c r="Q911" s="39"/>
      <x:c r="R911" s="39"/>
      <x:c r="S911" s="39"/>
      <x:c r="T911" s="39"/>
    </x:row>
    <x:row r="912">
      <x:c r="K912" s="39"/>
      <x:c r="L912" s="39"/>
      <x:c r="M912" s="39"/>
      <x:c r="N912" s="39"/>
      <x:c r="Q912" s="39"/>
      <x:c r="R912" s="39"/>
      <x:c r="S912" s="39"/>
      <x:c r="T912" s="39"/>
    </x:row>
    <x:row r="913">
      <x:c r="K913" s="39"/>
      <x:c r="L913" s="39"/>
      <x:c r="M913" s="39"/>
      <x:c r="N913" s="39"/>
      <x:c r="Q913" s="39"/>
      <x:c r="R913" s="39"/>
      <x:c r="S913" s="39"/>
      <x:c r="T913" s="39"/>
    </x:row>
    <x:row r="914">
      <x:c r="K914" s="39"/>
      <x:c r="L914" s="39"/>
      <x:c r="M914" s="39"/>
      <x:c r="N914" s="39"/>
      <x:c r="Q914" s="39"/>
      <x:c r="R914" s="39"/>
      <x:c r="S914" s="39"/>
      <x:c r="T914" s="39"/>
    </x:row>
    <x:row r="915">
      <x:c r="K915" s="39"/>
      <x:c r="L915" s="39"/>
      <x:c r="M915" s="39"/>
      <x:c r="N915" s="39"/>
      <x:c r="Q915" s="39"/>
      <x:c r="R915" s="39"/>
      <x:c r="S915" s="39"/>
      <x:c r="T915" s="39"/>
    </x:row>
    <x:row r="916">
      <x:c r="K916" s="39"/>
      <x:c r="L916" s="39"/>
      <x:c r="M916" s="39"/>
      <x:c r="N916" s="39"/>
      <x:c r="Q916" s="39"/>
      <x:c r="R916" s="39"/>
      <x:c r="S916" s="39"/>
      <x:c r="T916" s="39"/>
    </x:row>
    <x:row r="917">
      <x:c r="K917" s="39"/>
      <x:c r="L917" s="39"/>
      <x:c r="M917" s="39"/>
      <x:c r="N917" s="39"/>
      <x:c r="Q917" s="39"/>
      <x:c r="R917" s="39"/>
      <x:c r="S917" s="39"/>
      <x:c r="T917" s="39"/>
    </x:row>
    <x:row r="918">
      <x:c r="K918" s="39"/>
      <x:c r="L918" s="39"/>
      <x:c r="M918" s="39"/>
      <x:c r="N918" s="39"/>
      <x:c r="Q918" s="39"/>
      <x:c r="R918" s="39"/>
      <x:c r="S918" s="39"/>
      <x:c r="T918" s="39"/>
    </x:row>
    <x:row r="919">
      <x:c r="K919" s="39"/>
      <x:c r="L919" s="39"/>
      <x:c r="M919" s="39"/>
      <x:c r="N919" s="39"/>
      <x:c r="Q919" s="39"/>
      <x:c r="R919" s="39"/>
      <x:c r="S919" s="39"/>
      <x:c r="T919" s="39"/>
    </x:row>
    <x:row r="920">
      <x:c r="K920" s="39"/>
      <x:c r="L920" s="39"/>
      <x:c r="M920" s="39"/>
      <x:c r="N920" s="39"/>
      <x:c r="Q920" s="39"/>
      <x:c r="R920" s="39"/>
      <x:c r="S920" s="39"/>
      <x:c r="T920" s="39"/>
    </x:row>
    <x:row r="921">
      <x:c r="K921" s="39"/>
      <x:c r="L921" s="39"/>
      <x:c r="M921" s="39"/>
      <x:c r="N921" s="39"/>
      <x:c r="Q921" s="39"/>
      <x:c r="R921" s="39"/>
      <x:c r="S921" s="39"/>
      <x:c r="T921" s="39"/>
    </x:row>
    <x:row r="922">
      <x:c r="K922" s="39"/>
      <x:c r="L922" s="39"/>
      <x:c r="M922" s="39"/>
      <x:c r="N922" s="39"/>
      <x:c r="Q922" s="39"/>
      <x:c r="R922" s="39"/>
      <x:c r="S922" s="39"/>
      <x:c r="T922" s="39"/>
    </x:row>
    <x:row r="923">
      <x:c r="K923" s="39"/>
      <x:c r="L923" s="39"/>
      <x:c r="M923" s="39"/>
      <x:c r="N923" s="39"/>
      <x:c r="Q923" s="39"/>
      <x:c r="R923" s="39"/>
      <x:c r="S923" s="39"/>
      <x:c r="T923" s="39"/>
    </x:row>
    <x:row r="924">
      <x:c r="K924" s="39"/>
      <x:c r="L924" s="39"/>
      <x:c r="M924" s="39"/>
      <x:c r="N924" s="39"/>
      <x:c r="Q924" s="39"/>
      <x:c r="R924" s="39"/>
      <x:c r="S924" s="39"/>
      <x:c r="T924" s="39"/>
    </x:row>
    <x:row r="925">
      <x:c r="K925" s="39"/>
      <x:c r="L925" s="39"/>
      <x:c r="M925" s="39"/>
      <x:c r="N925" s="39"/>
      <x:c r="Q925" s="39"/>
      <x:c r="R925" s="39"/>
      <x:c r="S925" s="39"/>
      <x:c r="T925" s="39"/>
    </x:row>
    <x:row r="926">
      <x:c r="K926" s="39"/>
      <x:c r="L926" s="39"/>
      <x:c r="M926" s="39"/>
      <x:c r="N926" s="39"/>
      <x:c r="Q926" s="39"/>
      <x:c r="R926" s="39"/>
      <x:c r="S926" s="39"/>
      <x:c r="T926" s="39"/>
    </x:row>
    <x:row r="927">
      <x:c r="K927" s="39"/>
      <x:c r="L927" s="39"/>
      <x:c r="M927" s="39"/>
      <x:c r="N927" s="39"/>
      <x:c r="Q927" s="39"/>
      <x:c r="R927" s="39"/>
      <x:c r="S927" s="39"/>
      <x:c r="T927" s="39"/>
    </x:row>
    <x:row r="928">
      <x:c r="K928" s="39"/>
      <x:c r="L928" s="39"/>
      <x:c r="M928" s="39"/>
      <x:c r="N928" s="39"/>
      <x:c r="Q928" s="39"/>
      <x:c r="R928" s="39"/>
      <x:c r="S928" s="39"/>
      <x:c r="T928" s="39"/>
    </x:row>
    <x:row r="929">
      <x:c r="K929" s="39"/>
      <x:c r="L929" s="39"/>
      <x:c r="M929" s="39"/>
      <x:c r="N929" s="39"/>
      <x:c r="Q929" s="39"/>
      <x:c r="R929" s="39"/>
      <x:c r="S929" s="39"/>
      <x:c r="T929" s="39"/>
    </x:row>
    <x:row r="930">
      <x:c r="K930" s="39"/>
      <x:c r="L930" s="39"/>
      <x:c r="M930" s="39"/>
      <x:c r="N930" s="39"/>
      <x:c r="Q930" s="39"/>
      <x:c r="R930" s="39"/>
      <x:c r="S930" s="39"/>
      <x:c r="T930" s="39"/>
    </x:row>
    <x:row r="931">
      <x:c r="K931" s="39"/>
      <x:c r="L931" s="39"/>
      <x:c r="M931" s="39"/>
      <x:c r="N931" s="39"/>
      <x:c r="Q931" s="39"/>
      <x:c r="R931" s="39"/>
      <x:c r="S931" s="39"/>
      <x:c r="T931" s="39"/>
    </x:row>
    <x:row r="932">
      <x:c r="K932" s="39"/>
      <x:c r="L932" s="39"/>
      <x:c r="M932" s="39"/>
      <x:c r="N932" s="39"/>
      <x:c r="Q932" s="39"/>
      <x:c r="R932" s="39"/>
      <x:c r="S932" s="39"/>
      <x:c r="T932" s="39"/>
    </x:row>
    <x:row r="933">
      <x:c r="K933" s="39"/>
      <x:c r="L933" s="39"/>
      <x:c r="M933" s="39"/>
      <x:c r="N933" s="39"/>
      <x:c r="Q933" s="39"/>
      <x:c r="R933" s="39"/>
      <x:c r="S933" s="39"/>
      <x:c r="T933" s="39"/>
    </x:row>
    <x:row r="934">
      <x:c r="K934" s="39"/>
      <x:c r="L934" s="39"/>
      <x:c r="M934" s="39"/>
      <x:c r="N934" s="39"/>
      <x:c r="Q934" s="39"/>
      <x:c r="R934" s="39"/>
      <x:c r="S934" s="39"/>
      <x:c r="T934" s="39"/>
    </x:row>
    <x:row r="935">
      <x:c r="K935" s="39"/>
      <x:c r="L935" s="39"/>
      <x:c r="M935" s="39"/>
      <x:c r="N935" s="39"/>
      <x:c r="Q935" s="39"/>
      <x:c r="R935" s="39"/>
      <x:c r="S935" s="39"/>
      <x:c r="T935" s="39"/>
    </x:row>
    <x:row r="936">
      <x:c r="K936" s="39"/>
      <x:c r="L936" s="39"/>
      <x:c r="M936" s="39"/>
      <x:c r="N936" s="39"/>
      <x:c r="Q936" s="39"/>
      <x:c r="R936" s="39"/>
      <x:c r="S936" s="39"/>
      <x:c r="T936" s="39"/>
    </x:row>
    <x:row r="937">
      <x:c r="K937" s="39"/>
      <x:c r="L937" s="39"/>
      <x:c r="M937" s="39"/>
      <x:c r="N937" s="39"/>
      <x:c r="Q937" s="39"/>
      <x:c r="R937" s="39"/>
      <x:c r="S937" s="39"/>
      <x:c r="T937" s="39"/>
    </x:row>
    <x:row r="938">
      <x:c r="K938" s="39"/>
      <x:c r="L938" s="39"/>
      <x:c r="M938" s="39"/>
      <x:c r="N938" s="39"/>
      <x:c r="Q938" s="39"/>
      <x:c r="R938" s="39"/>
      <x:c r="S938" s="39"/>
      <x:c r="T938" s="39"/>
    </x:row>
    <x:row r="939">
      <x:c r="K939" s="39"/>
      <x:c r="L939" s="39"/>
      <x:c r="M939" s="39"/>
      <x:c r="N939" s="39"/>
      <x:c r="Q939" s="39"/>
      <x:c r="R939" s="39"/>
      <x:c r="S939" s="39"/>
      <x:c r="T939" s="39"/>
    </x:row>
    <x:row r="940">
      <x:c r="K940" s="39"/>
      <x:c r="L940" s="39"/>
      <x:c r="M940" s="39"/>
      <x:c r="N940" s="39"/>
      <x:c r="Q940" s="39"/>
      <x:c r="R940" s="39"/>
      <x:c r="S940" s="39"/>
      <x:c r="T940" s="39"/>
    </x:row>
    <x:row r="941">
      <x:c r="K941" s="39"/>
      <x:c r="L941" s="39"/>
      <x:c r="M941" s="39"/>
      <x:c r="N941" s="39"/>
      <x:c r="Q941" s="39"/>
      <x:c r="R941" s="39"/>
      <x:c r="S941" s="39"/>
      <x:c r="T941" s="39"/>
    </x:row>
    <x:row r="942">
      <x:c r="K942" s="39"/>
      <x:c r="L942" s="39"/>
      <x:c r="M942" s="39"/>
      <x:c r="N942" s="39"/>
      <x:c r="Q942" s="39"/>
      <x:c r="R942" s="39"/>
      <x:c r="S942" s="39"/>
      <x:c r="T942" s="39"/>
    </x:row>
    <x:row r="943">
      <x:c r="K943" s="39"/>
      <x:c r="L943" s="39"/>
      <x:c r="M943" s="39"/>
      <x:c r="N943" s="39"/>
      <x:c r="Q943" s="39"/>
      <x:c r="R943" s="39"/>
      <x:c r="S943" s="39"/>
      <x:c r="T943" s="39"/>
    </x:row>
    <x:row r="944">
      <x:c r="K944" s="39"/>
      <x:c r="L944" s="39"/>
      <x:c r="M944" s="39"/>
      <x:c r="N944" s="39"/>
      <x:c r="Q944" s="39"/>
      <x:c r="R944" s="39"/>
      <x:c r="S944" s="39"/>
      <x:c r="T944" s="39"/>
    </x:row>
    <x:row r="945">
      <x:c r="K945" s="39"/>
      <x:c r="L945" s="39"/>
      <x:c r="M945" s="39"/>
      <x:c r="N945" s="39"/>
      <x:c r="Q945" s="39"/>
      <x:c r="R945" s="39"/>
      <x:c r="S945" s="39"/>
      <x:c r="T945" s="39"/>
    </x:row>
    <x:row r="946">
      <x:c r="K946" s="39"/>
      <x:c r="L946" s="39"/>
      <x:c r="M946" s="39"/>
      <x:c r="N946" s="39"/>
      <x:c r="Q946" s="39"/>
      <x:c r="R946" s="39"/>
      <x:c r="S946" s="39"/>
      <x:c r="T946" s="39"/>
    </x:row>
    <x:row r="947">
      <x:c r="K947" s="39"/>
      <x:c r="L947" s="39"/>
      <x:c r="M947" s="39"/>
      <x:c r="N947" s="39"/>
      <x:c r="Q947" s="39"/>
      <x:c r="R947" s="39"/>
      <x:c r="S947" s="39"/>
      <x:c r="T947" s="39"/>
    </x:row>
    <x:row r="948">
      <x:c r="K948" s="39"/>
      <x:c r="L948" s="39"/>
      <x:c r="M948" s="39"/>
      <x:c r="N948" s="39"/>
      <x:c r="Q948" s="39"/>
      <x:c r="R948" s="39"/>
      <x:c r="S948" s="39"/>
      <x:c r="T948" s="39"/>
    </x:row>
    <x:row r="949">
      <x:c r="K949" s="39"/>
      <x:c r="L949" s="39"/>
      <x:c r="M949" s="39"/>
      <x:c r="N949" s="39"/>
      <x:c r="Q949" s="39"/>
      <x:c r="R949" s="39"/>
      <x:c r="S949" s="39"/>
      <x:c r="T949" s="39"/>
    </x:row>
    <x:row r="950">
      <x:c r="K950" s="39"/>
      <x:c r="L950" s="39"/>
      <x:c r="M950" s="39"/>
      <x:c r="N950" s="39"/>
      <x:c r="Q950" s="39"/>
      <x:c r="R950" s="39"/>
      <x:c r="S950" s="39"/>
      <x:c r="T950" s="39"/>
    </x:row>
    <x:row r="951">
      <x:c r="K951" s="39"/>
      <x:c r="L951" s="39"/>
      <x:c r="M951" s="39"/>
      <x:c r="N951" s="39"/>
      <x:c r="Q951" s="39"/>
      <x:c r="R951" s="39"/>
      <x:c r="S951" s="39"/>
      <x:c r="T951" s="39"/>
    </x:row>
    <x:row r="952">
      <x:c r="K952" s="39"/>
      <x:c r="L952" s="39"/>
      <x:c r="M952" s="39"/>
      <x:c r="N952" s="39"/>
      <x:c r="Q952" s="39"/>
      <x:c r="R952" s="39"/>
      <x:c r="S952" s="39"/>
      <x:c r="T952" s="39"/>
    </x:row>
    <x:row r="953">
      <x:c r="K953" s="39"/>
      <x:c r="L953" s="39"/>
      <x:c r="M953" s="39"/>
      <x:c r="N953" s="39"/>
      <x:c r="Q953" s="39"/>
      <x:c r="R953" s="39"/>
      <x:c r="S953" s="39"/>
      <x:c r="T953" s="39"/>
    </x:row>
    <x:row r="954">
      <x:c r="K954" s="39"/>
      <x:c r="L954" s="39"/>
      <x:c r="M954" s="39"/>
      <x:c r="N954" s="39"/>
      <x:c r="Q954" s="39"/>
      <x:c r="R954" s="39"/>
      <x:c r="S954" s="39"/>
      <x:c r="T954" s="39"/>
    </x:row>
    <x:row r="955">
      <x:c r="K955" s="39"/>
      <x:c r="L955" s="39"/>
      <x:c r="M955" s="39"/>
      <x:c r="N955" s="39"/>
      <x:c r="Q955" s="39"/>
      <x:c r="R955" s="39"/>
      <x:c r="S955" s="39"/>
      <x:c r="T955" s="39"/>
    </x:row>
    <x:row r="956">
      <x:c r="K956" s="39"/>
      <x:c r="L956" s="39"/>
      <x:c r="M956" s="39"/>
      <x:c r="N956" s="39"/>
      <x:c r="Q956" s="39"/>
      <x:c r="R956" s="39"/>
      <x:c r="S956" s="39"/>
      <x:c r="T956" s="39"/>
    </x:row>
    <x:row r="957">
      <x:c r="K957" s="39"/>
      <x:c r="L957" s="39"/>
      <x:c r="M957" s="39"/>
      <x:c r="N957" s="39"/>
      <x:c r="Q957" s="39"/>
      <x:c r="R957" s="39"/>
      <x:c r="S957" s="39"/>
      <x:c r="T957" s="39"/>
    </x:row>
    <x:row r="958">
      <x:c r="K958" s="39"/>
      <x:c r="L958" s="39"/>
      <x:c r="M958" s="39"/>
      <x:c r="N958" s="39"/>
      <x:c r="Q958" s="39"/>
      <x:c r="R958" s="39"/>
      <x:c r="S958" s="39"/>
      <x:c r="T958" s="39"/>
    </x:row>
    <x:row r="959">
      <x:c r="K959" s="39"/>
      <x:c r="L959" s="39"/>
      <x:c r="M959" s="39"/>
      <x:c r="N959" s="39"/>
      <x:c r="Q959" s="39"/>
      <x:c r="R959" s="39"/>
      <x:c r="S959" s="39"/>
      <x:c r="T959" s="39"/>
    </x:row>
    <x:row r="960">
      <x:c r="K960" s="39"/>
      <x:c r="L960" s="39"/>
      <x:c r="M960" s="39"/>
      <x:c r="N960" s="39"/>
      <x:c r="Q960" s="39"/>
      <x:c r="R960" s="39"/>
      <x:c r="S960" s="39"/>
      <x:c r="T960" s="39"/>
    </x:row>
    <x:row r="961">
      <x:c r="K961" s="39"/>
      <x:c r="L961" s="39"/>
      <x:c r="M961" s="39"/>
      <x:c r="N961" s="39"/>
      <x:c r="Q961" s="39"/>
      <x:c r="R961" s="39"/>
      <x:c r="S961" s="39"/>
      <x:c r="T961" s="39"/>
    </x:row>
    <x:row r="962">
      <x:c r="K962" s="39"/>
      <x:c r="L962" s="39"/>
      <x:c r="M962" s="39"/>
      <x:c r="N962" s="39"/>
      <x:c r="Q962" s="39"/>
      <x:c r="R962" s="39"/>
      <x:c r="S962" s="39"/>
      <x:c r="T962" s="39"/>
    </x:row>
    <x:row r="963">
      <x:c r="K963" s="39"/>
      <x:c r="L963" s="39"/>
      <x:c r="M963" s="39"/>
      <x:c r="N963" s="39"/>
      <x:c r="Q963" s="39"/>
      <x:c r="R963" s="39"/>
      <x:c r="S963" s="39"/>
      <x:c r="T963" s="39"/>
    </x:row>
    <x:row r="964">
      <x:c r="K964" s="39"/>
      <x:c r="L964" s="39"/>
      <x:c r="M964" s="39"/>
      <x:c r="N964" s="39"/>
      <x:c r="Q964" s="39"/>
      <x:c r="R964" s="39"/>
      <x:c r="S964" s="39"/>
      <x:c r="T964" s="39"/>
    </x:row>
    <x:row r="965">
      <x:c r="K965" s="39"/>
      <x:c r="L965" s="39"/>
      <x:c r="M965" s="39"/>
      <x:c r="N965" s="39"/>
      <x:c r="Q965" s="39"/>
      <x:c r="R965" s="39"/>
      <x:c r="S965" s="39"/>
      <x:c r="T965" s="39"/>
    </x:row>
    <x:row r="966">
      <x:c r="K966" s="39"/>
      <x:c r="L966" s="39"/>
      <x:c r="M966" s="39"/>
      <x:c r="N966" s="39"/>
      <x:c r="Q966" s="39"/>
      <x:c r="R966" s="39"/>
      <x:c r="S966" s="39"/>
      <x:c r="T966" s="39"/>
    </x:row>
    <x:row r="967">
      <x:c r="K967" s="39"/>
      <x:c r="L967" s="39"/>
      <x:c r="M967" s="39"/>
      <x:c r="N967" s="39"/>
      <x:c r="Q967" s="39"/>
      <x:c r="R967" s="39"/>
      <x:c r="S967" s="39"/>
      <x:c r="T967" s="39"/>
    </x:row>
    <x:row r="968">
      <x:c r="K968" s="39"/>
      <x:c r="L968" s="39"/>
      <x:c r="M968" s="39"/>
      <x:c r="N968" s="39"/>
      <x:c r="Q968" s="39"/>
      <x:c r="R968" s="39"/>
      <x:c r="S968" s="39"/>
      <x:c r="T968" s="39"/>
    </x:row>
    <x:row r="969">
      <x:c r="K969" s="39"/>
      <x:c r="L969" s="39"/>
      <x:c r="M969" s="39"/>
      <x:c r="N969" s="39"/>
      <x:c r="Q969" s="39"/>
      <x:c r="R969" s="39"/>
      <x:c r="S969" s="39"/>
      <x:c r="T969" s="39"/>
    </x:row>
    <x:row r="970">
      <x:c r="K970" s="39"/>
      <x:c r="L970" s="39"/>
      <x:c r="M970" s="39"/>
      <x:c r="N970" s="39"/>
      <x:c r="Q970" s="39"/>
      <x:c r="R970" s="39"/>
      <x:c r="S970" s="39"/>
      <x:c r="T970" s="39"/>
    </x:row>
    <x:row r="971">
      <x:c r="K971" s="39"/>
      <x:c r="L971" s="39"/>
      <x:c r="M971" s="39"/>
      <x:c r="N971" s="39"/>
      <x:c r="Q971" s="39"/>
      <x:c r="R971" s="39"/>
      <x:c r="S971" s="39"/>
      <x:c r="T971" s="39"/>
    </x:row>
    <x:row r="972">
      <x:c r="K972" s="39"/>
      <x:c r="L972" s="39"/>
      <x:c r="M972" s="39"/>
      <x:c r="N972" s="39"/>
      <x:c r="Q972" s="39"/>
      <x:c r="R972" s="39"/>
      <x:c r="S972" s="39"/>
      <x:c r="T972" s="39"/>
    </x:row>
    <x:row r="973">
      <x:c r="K973" s="39"/>
      <x:c r="L973" s="39"/>
      <x:c r="M973" s="39"/>
      <x:c r="N973" s="39"/>
      <x:c r="Q973" s="39"/>
      <x:c r="R973" s="39"/>
      <x:c r="S973" s="39"/>
      <x:c r="T973" s="39"/>
    </x:row>
    <x:row r="974">
      <x:c r="K974" s="39"/>
      <x:c r="L974" s="39"/>
      <x:c r="M974" s="39"/>
      <x:c r="N974" s="39"/>
      <x:c r="Q974" s="39"/>
      <x:c r="R974" s="39"/>
      <x:c r="S974" s="39"/>
      <x:c r="T974" s="39"/>
    </x:row>
    <x:row r="975">
      <x:c r="K975" s="39"/>
      <x:c r="L975" s="39"/>
      <x:c r="M975" s="39"/>
      <x:c r="N975" s="39"/>
      <x:c r="Q975" s="39"/>
      <x:c r="R975" s="39"/>
      <x:c r="S975" s="39"/>
      <x:c r="T975" s="39"/>
    </x:row>
    <x:row r="976">
      <x:c r="K976" s="39"/>
      <x:c r="L976" s="39"/>
      <x:c r="M976" s="39"/>
      <x:c r="N976" s="39"/>
      <x:c r="Q976" s="39"/>
      <x:c r="R976" s="39"/>
      <x:c r="S976" s="39"/>
      <x:c r="T976" s="39"/>
    </x:row>
    <x:row r="977">
      <x:c r="K977" s="39"/>
      <x:c r="L977" s="39"/>
      <x:c r="M977" s="39"/>
      <x:c r="N977" s="39"/>
      <x:c r="Q977" s="39"/>
      <x:c r="R977" s="39"/>
      <x:c r="S977" s="39"/>
      <x:c r="T977" s="39"/>
    </x:row>
    <x:row r="978">
      <x:c r="K978" s="39"/>
      <x:c r="L978" s="39"/>
      <x:c r="M978" s="39"/>
      <x:c r="N978" s="39"/>
      <x:c r="Q978" s="39"/>
      <x:c r="R978" s="39"/>
      <x:c r="S978" s="39"/>
      <x:c r="T978" s="39"/>
    </x:row>
    <x:row r="979">
      <x:c r="K979" s="39"/>
      <x:c r="L979" s="39"/>
      <x:c r="M979" s="39"/>
      <x:c r="N979" s="39"/>
      <x:c r="Q979" s="39"/>
      <x:c r="R979" s="39"/>
      <x:c r="S979" s="39"/>
      <x:c r="T979" s="39"/>
    </x:row>
    <x:row r="980">
      <x:c r="K980" s="39"/>
      <x:c r="L980" s="39"/>
      <x:c r="M980" s="39"/>
      <x:c r="N980" s="39"/>
      <x:c r="Q980" s="39"/>
      <x:c r="R980" s="39"/>
      <x:c r="S980" s="39"/>
      <x:c r="T980" s="39"/>
    </x:row>
    <x:row r="981">
      <x:c r="K981" s="39"/>
      <x:c r="L981" s="39"/>
      <x:c r="M981" s="39"/>
      <x:c r="N981" s="39"/>
      <x:c r="Q981" s="39"/>
      <x:c r="R981" s="39"/>
      <x:c r="S981" s="39"/>
      <x:c r="T981" s="39"/>
    </x:row>
    <x:row r="982">
      <x:c r="K982" s="39"/>
      <x:c r="L982" s="39"/>
      <x:c r="M982" s="39"/>
      <x:c r="N982" s="39"/>
      <x:c r="Q982" s="39"/>
      <x:c r="R982" s="39"/>
      <x:c r="S982" s="39"/>
      <x:c r="T982" s="39"/>
    </x:row>
    <x:row r="983">
      <x:c r="K983" s="39"/>
      <x:c r="L983" s="39"/>
      <x:c r="M983" s="39"/>
      <x:c r="N983" s="39"/>
      <x:c r="Q983" s="39"/>
      <x:c r="R983" s="39"/>
      <x:c r="S983" s="39"/>
      <x:c r="T983" s="39"/>
    </x:row>
    <x:row r="984">
      <x:c r="K984" s="39"/>
      <x:c r="L984" s="39"/>
      <x:c r="M984" s="39"/>
      <x:c r="N984" s="39"/>
      <x:c r="Q984" s="39"/>
      <x:c r="R984" s="39"/>
      <x:c r="S984" s="39"/>
      <x:c r="T984" s="39"/>
    </x:row>
    <x:row r="985">
      <x:c r="K985" s="39"/>
      <x:c r="L985" s="39"/>
      <x:c r="M985" s="39"/>
      <x:c r="N985" s="39"/>
      <x:c r="Q985" s="39"/>
      <x:c r="R985" s="39"/>
      <x:c r="S985" s="39"/>
      <x:c r="T985" s="39"/>
    </x:row>
    <x:row r="986">
      <x:c r="K986" s="39"/>
      <x:c r="L986" s="39"/>
      <x:c r="M986" s="39"/>
      <x:c r="N986" s="39"/>
      <x:c r="Q986" s="39"/>
      <x:c r="R986" s="39"/>
      <x:c r="S986" s="39"/>
      <x:c r="T986" s="39"/>
    </x:row>
    <x:row r="987">
      <x:c r="K987" s="39"/>
      <x:c r="L987" s="39"/>
      <x:c r="M987" s="39"/>
      <x:c r="N987" s="39"/>
      <x:c r="Q987" s="39"/>
      <x:c r="R987" s="39"/>
      <x:c r="S987" s="39"/>
      <x:c r="T987" s="39"/>
    </x:row>
    <x:row r="988">
      <x:c r="K988" s="39"/>
      <x:c r="L988" s="39"/>
      <x:c r="M988" s="39"/>
      <x:c r="N988" s="39"/>
      <x:c r="Q988" s="39"/>
      <x:c r="R988" s="39"/>
      <x:c r="S988" s="39"/>
      <x:c r="T988" s="39"/>
    </x:row>
    <x:row r="989">
      <x:c r="K989" s="39"/>
      <x:c r="L989" s="39"/>
      <x:c r="M989" s="39"/>
      <x:c r="N989" s="39"/>
      <x:c r="Q989" s="39"/>
      <x:c r="R989" s="39"/>
      <x:c r="S989" s="39"/>
      <x:c r="T989" s="39"/>
    </x:row>
    <x:row r="990">
      <x:c r="K990" s="39"/>
      <x:c r="L990" s="39"/>
      <x:c r="M990" s="39"/>
      <x:c r="N990" s="39"/>
      <x:c r="Q990" s="39"/>
      <x:c r="R990" s="39"/>
      <x:c r="S990" s="39"/>
      <x:c r="T990" s="39"/>
    </x:row>
    <x:row r="991">
      <x:c r="K991" s="39"/>
      <x:c r="L991" s="39"/>
      <x:c r="M991" s="39"/>
      <x:c r="N991" s="39"/>
      <x:c r="Q991" s="39"/>
      <x:c r="R991" s="39"/>
      <x:c r="S991" s="39"/>
      <x:c r="T991" s="39"/>
    </x:row>
    <x:row r="992">
      <x:c r="K992" s="39"/>
      <x:c r="L992" s="39"/>
      <x:c r="M992" s="39"/>
      <x:c r="N992" s="39"/>
      <x:c r="Q992" s="39"/>
      <x:c r="R992" s="39"/>
      <x:c r="S992" s="39"/>
      <x:c r="T992" s="39"/>
    </x:row>
    <x:row r="993">
      <x:c r="K993" s="39"/>
      <x:c r="L993" s="39"/>
      <x:c r="M993" s="39"/>
      <x:c r="N993" s="39"/>
      <x:c r="Q993" s="39"/>
      <x:c r="R993" s="39"/>
      <x:c r="S993" s="39"/>
      <x:c r="T993" s="39"/>
    </x:row>
    <x:row r="994">
      <x:c r="K994" s="39"/>
      <x:c r="L994" s="39"/>
      <x:c r="M994" s="39"/>
      <x:c r="N994" s="39"/>
      <x:c r="Q994" s="39"/>
      <x:c r="R994" s="39"/>
      <x:c r="S994" s="39"/>
      <x:c r="T994" s="39"/>
    </x:row>
    <x:row r="995">
      <x:c r="K995" s="39"/>
      <x:c r="L995" s="39"/>
      <x:c r="M995" s="39"/>
      <x:c r="N995" s="39"/>
      <x:c r="Q995" s="39"/>
      <x:c r="R995" s="39"/>
      <x:c r="S995" s="39"/>
      <x:c r="T995" s="39"/>
    </x:row>
    <x:row r="996">
      <x:c r="K996" s="39"/>
      <x:c r="L996" s="39"/>
      <x:c r="M996" s="39"/>
      <x:c r="N996" s="39"/>
      <x:c r="Q996" s="39"/>
      <x:c r="R996" s="39"/>
      <x:c r="S996" s="39"/>
      <x:c r="T996" s="39"/>
    </x:row>
    <x:row r="997">
      <x:c r="K997" s="39"/>
      <x:c r="L997" s="39"/>
      <x:c r="M997" s="39"/>
      <x:c r="N997" s="39"/>
      <x:c r="Q997" s="39"/>
      <x:c r="R997" s="39"/>
      <x:c r="S997" s="39"/>
      <x:c r="T997" s="39"/>
    </x:row>
    <x:row r="998">
      <x:c r="K998" s="39"/>
      <x:c r="L998" s="39"/>
      <x:c r="M998" s="39"/>
      <x:c r="N998" s="39"/>
      <x:c r="Q998" s="39"/>
      <x:c r="R998" s="39"/>
      <x:c r="S998" s="39"/>
      <x:c r="T998" s="39"/>
    </x:row>
    <x:row r="999">
      <x:c r="K999" s="39"/>
      <x:c r="L999" s="39"/>
      <x:c r="M999" s="39"/>
      <x:c r="N999" s="39"/>
      <x:c r="Q999" s="39"/>
      <x:c r="R999" s="39"/>
      <x:c r="S999" s="39"/>
      <x:c r="T999" s="39"/>
    </x:row>
    <x:row r="1000">
      <x:c r="K1000" s="39"/>
      <x:c r="L1000" s="39"/>
      <x:c r="M1000" s="39"/>
      <x:c r="N1000" s="39"/>
      <x:c r="Q1000" s="39"/>
      <x:c r="R1000" s="39"/>
      <x:c r="S1000" s="39"/>
      <x:c r="T1000" s="39"/>
    </x:row>
    <x:row r="1001">
      <x:c r="K1001" s="39"/>
      <x:c r="L1001" s="39"/>
      <x:c r="M1001" s="39"/>
      <x:c r="N1001" s="39"/>
      <x:c r="Q1001" s="39"/>
      <x:c r="R1001" s="39"/>
      <x:c r="S1001" s="39"/>
      <x:c r="T1001" s="39"/>
    </x:row>
  </x:sheetData>
  <x:pageMargins left="0.7" right="0.7" top="0.75" bottom="0.75" header="0.3" footer="0.3"/>
</x:worksheet>
</file>

<file path=xl/worksheets/sheet44.xml><?xml version="1.0" encoding="utf-8"?>
<x:worksheet xmlns:x="http://schemas.openxmlformats.org/spreadsheetml/2006/main">
  <x:sheetPr>
    <x:tabColor rgb="FFFFF2CC"/>
  </x:sheetPr>
  <x:sheetFormatPr defaultColWidth="12.630000114440918" defaultRowHeight="15.75"/>
  <x:sheetData>
    <x:row r="1">
      <x:c r="A1" s="5" t="s">
        <x:v>2187</x:v>
      </x:c>
      <x:c r="B1" s="5" t="s">
        <x:v>2179</x:v>
      </x:c>
      <x:c r="C1" s="5" t="s">
        <x:v>2451</x:v>
      </x:c>
      <x:c r="D1" s="5" t="s">
        <x:v>429</x:v>
      </x:c>
      <x:c r="E1" s="5" t="s">
        <x:v>2452</x:v>
      </x:c>
      <x:c r="F1" s="5" t="s">
        <x:v>2372</x:v>
      </x:c>
      <x:c r="G1" s="42" t="s">
        <x:v>2453</x:v>
      </x:c>
      <x:c r="H1" s="5" t="s">
        <x:v>2454</x:v>
      </x:c>
      <x:c r="I1" s="5" t="s">
        <x:v>135</x:v>
      </x:c>
    </x:row>
    <x:row r="2">
      <x:c r="A2" s="1" t="s">
        <x:v>2455</x:v>
      </x:c>
      <x:c r="B2" s="1" t="s">
        <x:v>150</x:v>
      </x:c>
      <x:c r="C2" s="1" t="s">
        <x:v>2456</x:v>
      </x:c>
      <x:c r="D2" s="1" t="s">
        <x:v>2456</x:v>
      </x:c>
      <x:c r="E2" s="1" t="s">
        <x:v>2457</x:v>
      </x:c>
      <x:c r="F2" s="1" t="s">
        <x:v>2458</x:v>
      </x:c>
      <x:c r="G2" s="43"/>
      <x:c r="I2" s="1" t="s">
        <x:v>175</x:v>
      </x:c>
    </x:row>
    <x:row r="3">
      <x:c r="A3" s="1" t="s">
        <x:v>2459</x:v>
      </x:c>
      <x:c r="B3" s="1" t="s">
        <x:v>150</x:v>
      </x:c>
      <x:c r="C3" s="1" t="s">
        <x:v>2460</x:v>
      </x:c>
      <x:c r="D3" s="1" t="s">
        <x:v>2460</x:v>
      </x:c>
      <x:c r="E3" s="1" t="s">
        <x:v>2457</x:v>
      </x:c>
      <x:c r="F3" s="1" t="s">
        <x:v>2461</x:v>
      </x:c>
      <x:c r="G3" s="43"/>
      <x:c r="I3" s="1" t="s">
        <x:v>175</x:v>
      </x:c>
    </x:row>
    <x:row r="4">
      <x:c r="A4" s="1" t="s">
        <x:v>2462</x:v>
      </x:c>
      <x:c r="B4" s="1" t="s">
        <x:v>150</x:v>
      </x:c>
      <x:c r="C4" s="1" t="s">
        <x:v>2463</x:v>
      </x:c>
      <x:c r="D4" s="1" t="s">
        <x:v>2463</x:v>
      </x:c>
      <x:c r="E4" s="1" t="s">
        <x:v>2457</x:v>
      </x:c>
      <x:c r="F4" s="1" t="s">
        <x:v>2464</x:v>
      </x:c>
      <x:c r="G4" s="43"/>
      <x:c r="I4" s="1" t="s">
        <x:v>175</x:v>
      </x:c>
    </x:row>
    <x:row r="5">
      <x:c r="A5" s="1" t="s">
        <x:v>2465</x:v>
      </x:c>
      <x:c r="B5" s="1" t="s">
        <x:v>150</x:v>
      </x:c>
      <x:c r="C5" s="1" t="s">
        <x:v>2466</x:v>
      </x:c>
      <x:c r="D5" s="1" t="s">
        <x:v>2466</x:v>
      </x:c>
      <x:c r="E5" s="1" t="s">
        <x:v>2457</x:v>
      </x:c>
      <x:c r="F5" s="1" t="s">
        <x:v>2467</x:v>
      </x:c>
      <x:c r="G5" s="43"/>
      <x:c r="I5" s="1" t="s">
        <x:v>175</x:v>
      </x:c>
    </x:row>
    <x:row r="6">
      <x:c r="A6" s="1" t="s">
        <x:v>2468</x:v>
      </x:c>
      <x:c r="B6" s="1" t="s">
        <x:v>150</x:v>
      </x:c>
      <x:c r="C6" s="1" t="s">
        <x:v>2469</x:v>
      </x:c>
      <x:c r="D6" s="1" t="s">
        <x:v>2469</x:v>
      </x:c>
      <x:c r="E6" s="1" t="s">
        <x:v>2457</x:v>
      </x:c>
      <x:c r="F6" s="1" t="s">
        <x:v>2470</x:v>
      </x:c>
      <x:c r="G6" s="43"/>
      <x:c r="I6" s="1" t="s">
        <x:v>175</x:v>
      </x:c>
    </x:row>
    <x:row r="7">
      <x:c r="A7" s="1" t="s">
        <x:v>2471</x:v>
      </x:c>
      <x:c r="B7" s="1" t="s">
        <x:v>2472</x:v>
      </x:c>
      <x:c r="C7" s="1" t="s">
        <x:v>2473</x:v>
      </x:c>
      <x:c r="F7" s="1" t="s">
        <x:v>2474</x:v>
      </x:c>
      <x:c r="I7" s="1" t="s">
        <x:v>2475</x:v>
      </x:c>
    </x:row>
    <x:row r="8">
      <x:c r="A8" s="1" t="s">
        <x:v>2476</x:v>
      </x:c>
      <x:c r="B8" s="1" t="s">
        <x:v>2472</x:v>
      </x:c>
      <x:c r="C8" s="1" t="s">
        <x:v>2477</x:v>
      </x:c>
      <x:c r="F8" s="1" t="s">
        <x:v>2478</x:v>
      </x:c>
      <x:c r="I8" s="1" t="s">
        <x:v>2475</x:v>
      </x:c>
    </x:row>
    <x:row r="9">
      <x:c r="A9" s="1" t="s">
        <x:v>2479</x:v>
      </x:c>
      <x:c r="B9" s="1" t="s">
        <x:v>2398</x:v>
      </x:c>
      <x:c r="C9" s="1" t="s">
        <x:v>2480</x:v>
      </x:c>
      <x:c r="E9" s="1" t="s">
        <x:v>2481</x:v>
      </x:c>
      <x:c r="F9" s="1" t="s">
        <x:v>2482</x:v>
      </x:c>
      <x:c r="I9" s="1" t="s">
        <x:v>2475</x:v>
      </x:c>
    </x:row>
    <x:row r="10">
      <x:c r="A10" s="1" t="s">
        <x:v>2483</x:v>
      </x:c>
      <x:c r="B10" s="1" t="s">
        <x:v>2398</x:v>
      </x:c>
      <x:c r="C10" s="1" t="s">
        <x:v>2484</x:v>
      </x:c>
      <x:c r="E10" s="1" t="s">
        <x:v>2484</x:v>
      </x:c>
      <x:c r="F10" s="1" t="s">
        <x:v>2400</x:v>
      </x:c>
      <x:c r="I10" s="1" t="s">
        <x:v>175</x:v>
      </x:c>
    </x:row>
    <x:row r="11">
      <x:c r="A11" s="1" t="s">
        <x:v>2485</x:v>
      </x:c>
      <x:c r="B11" s="1" t="s">
        <x:v>2486</x:v>
      </x:c>
      <x:c r="C11" s="1" t="s">
        <x:v>2487</x:v>
      </x:c>
      <x:c r="E11" s="1" t="s">
        <x:v>2488</x:v>
      </x:c>
      <x:c r="F11" s="1" t="s">
        <x:v>2489</x:v>
      </x:c>
      <x:c r="I11" s="1" t="s">
        <x:v>2475</x:v>
      </x:c>
    </x:row>
    <x:row r="12">
      <x:c r="A12" s="1" t="s">
        <x:v>2490</x:v>
      </x:c>
      <x:c r="B12" s="1" t="s">
        <x:v>2486</x:v>
      </x:c>
      <x:c r="C12" s="1" t="s">
        <x:v>2491</x:v>
      </x:c>
      <x:c r="E12" s="1" t="s">
        <x:v>2492</x:v>
      </x:c>
      <x:c r="F12" s="1" t="s">
        <x:v>2493</x:v>
      </x:c>
      <x:c r="I12" s="1" t="s">
        <x:v>2475</x:v>
      </x:c>
    </x:row>
    <x:row r="13">
      <x:c r="A13" s="1" t="s">
        <x:v>2494</x:v>
      </x:c>
      <x:c r="B13" s="1" t="s">
        <x:v>2495</x:v>
      </x:c>
      <x:c r="C13" s="1" t="s">
        <x:v>2496</x:v>
      </x:c>
      <x:c r="I13" s="1" t="s">
        <x:v>2475</x:v>
      </x:c>
    </x:row>
    <x:row r="14">
      <x:c r="A14" s="1" t="s">
        <x:v>2497</x:v>
      </x:c>
      <x:c r="B14" s="1" t="s">
        <x:v>2495</x:v>
      </x:c>
      <x:c r="C14" s="1" t="s">
        <x:v>2498</x:v>
      </x:c>
      <x:c r="I14" s="1" t="s">
        <x:v>2475</x:v>
      </x:c>
    </x:row>
    <x:row r="15">
      <x:c r="A15" s="1" t="s">
        <x:v>2499</x:v>
      </x:c>
      <x:c r="B15" s="1" t="s">
        <x:v>2500</x:v>
      </x:c>
      <x:c r="C15" s="1" t="s">
        <x:v>2501</x:v>
      </x:c>
      <x:c r="D15" s="1" t="s">
        <x:v>2463</x:v>
      </x:c>
      <x:c r="I15" s="1" t="s">
        <x:v>2475</x:v>
      </x:c>
    </x:row>
    <x:row r="16">
      <x:c r="A16" s="1" t="s">
        <x:v>2502</x:v>
      </x:c>
      <x:c r="B16" s="1" t="s">
        <x:v>2500</x:v>
      </x:c>
      <x:c r="C16" s="1" t="s">
        <x:v>2503</x:v>
      </x:c>
      <x:c r="D16" s="1" t="s">
        <x:v>2466</x:v>
      </x:c>
      <x:c r="I16" s="1" t="s">
        <x:v>2475</x:v>
      </x:c>
    </x:row>
    <x:row r="17">
      <x:c r="A17" s="1" t="s">
        <x:v>2504</x:v>
      </x:c>
      <x:c r="B17" s="1" t="s">
        <x:v>2500</x:v>
      </x:c>
      <x:c r="C17" s="1" t="s">
        <x:v>2505</x:v>
      </x:c>
      <x:c r="D17" s="1" t="s">
        <x:v>2469</x:v>
      </x:c>
      <x:c r="I17" s="1" t="s">
        <x:v>2475</x:v>
      </x:c>
    </x:row>
    <x:row r="18">
      <x:c r="A18" s="1" t="s">
        <x:v>2506</x:v>
      </x:c>
      <x:c r="B18" s="1" t="s">
        <x:v>2507</x:v>
      </x:c>
      <x:c r="C18" s="44" t="s">
        <x:v>2508</x:v>
      </x:c>
      <x:c r="D18" s="1" t="s">
        <x:v>2456</x:v>
      </x:c>
      <x:c r="I18" s="1" t="s">
        <x:v>2475</x:v>
      </x:c>
    </x:row>
    <x:row r="19">
      <x:c r="A19" s="1" t="s">
        <x:v>2509</x:v>
      </x:c>
      <x:c r="B19" s="1" t="s">
        <x:v>2507</x:v>
      </x:c>
      <x:c r="C19" s="44" t="s">
        <x:v>2510</x:v>
      </x:c>
      <x:c r="D19" s="1" t="s">
        <x:v>2463</x:v>
      </x:c>
      <x:c r="I19" s="1" t="s">
        <x:v>2475</x:v>
      </x:c>
    </x:row>
    <x:row r="20">
      <x:c r="A20" s="1" t="s">
        <x:v>2511</x:v>
      </x:c>
      <x:c r="B20" s="1" t="s">
        <x:v>2507</x:v>
      </x:c>
      <x:c r="C20" s="44" t="s">
        <x:v>2512</x:v>
      </x:c>
      <x:c r="D20" s="1" t="s">
        <x:v>2466</x:v>
      </x:c>
      <x:c r="I20" s="1" t="s">
        <x:v>2475</x:v>
      </x:c>
    </x:row>
    <x:row r="21">
      <x:c r="A21" s="1" t="s">
        <x:v>2513</x:v>
      </x:c>
      <x:c r="B21" s="1" t="s">
        <x:v>2507</x:v>
      </x:c>
      <x:c r="C21" s="44" t="s">
        <x:v>2514</x:v>
      </x:c>
      <x:c r="D21" s="1" t="s">
        <x:v>2469</x:v>
      </x:c>
      <x:c r="I21" s="1" t="s">
        <x:v>2475</x:v>
      </x:c>
    </x:row>
    <x:row r="22">
      <x:c r="A22" s="1" t="s">
        <x:v>2515</x:v>
      </x:c>
      <x:c r="B22" s="1" t="s">
        <x:v>2507</x:v>
      </x:c>
      <x:c r="C22" s="45" t="s">
        <x:v>2516</x:v>
      </x:c>
      <x:c r="D22" s="1" t="s">
        <x:v>2460</x:v>
      </x:c>
      <x:c r="I22" s="1" t="s">
        <x:v>2475</x:v>
      </x:c>
    </x:row>
    <x:row r="23">
      <x:c r="A23" s="1" t="s">
        <x:v>2444</x:v>
      </x:c>
      <x:c r="B23" s="1" t="s">
        <x:v>2386</x:v>
      </x:c>
      <x:c r="C23" s="1" t="s">
        <x:v>2517</x:v>
      </x:c>
      <x:c r="E23" s="1" t="s">
        <x:v>2517</x:v>
      </x:c>
      <x:c r="F23" s="1" t="s">
        <x:v>2518</x:v>
      </x:c>
      <x:c r="I23" s="1" t="s">
        <x:v>175</x:v>
      </x:c>
    </x:row>
  </x:sheetData>
  <x:pageMargins left="0.7" right="0.7" top="0.75" bottom="0.75" header="0.3" footer="0.3"/>
</x:worksheet>
</file>

<file path=xl/worksheets/sheet45.xml><?xml version="1.0" encoding="utf-8"?>
<x:worksheet xmlns:x="http://schemas.openxmlformats.org/spreadsheetml/2006/main">
  <x:sheetFormatPr defaultColWidth="12.630000114440918" defaultRowHeight="15.75"/>
  <x:sheetData>
    <x:row r="1">
      <x:c r="A1" s="1" t="s">
        <x:v>2519</x:v>
      </x:c>
      <x:c r="B1" s="1" t="s">
        <x:v>2520</x:v>
      </x:c>
      <x:c r="C1" s="1" t="s">
        <x:v>2521</x:v>
      </x:c>
      <x:c r="D1" s="1" t="s">
        <x:v>2522</x:v>
      </x:c>
      <x:c r="E1" s="1" t="s">
        <x:v>2523</x:v>
      </x:c>
      <x:c r="F1" s="1" t="s">
        <x:v>2524</x:v>
      </x:c>
      <x:c r="G1" s="1" t="s">
        <x:v>2525</x:v>
      </x:c>
      <x:c r="H1" s="1" t="s">
        <x:v>135</x:v>
      </x:c>
      <x:c r="I1" s="1" t="s">
        <x:v>2526</x:v>
      </x:c>
      <x:c r="J1" s="1" t="s">
        <x:v>2527</x:v>
      </x:c>
      <x:c r="K1" s="1" t="s">
        <x:v>137</x:v>
      </x:c>
    </x:row>
    <x:row r="2">
      <x:c r="A2" s="1" t="s">
        <x:v>2528</x:v>
      </x:c>
      <x:c r="B2" s="1" t="s">
        <x:v>2529</x:v>
      </x:c>
      <x:c r="C2" s="1" t="s">
        <x:v>2530</x:v>
      </x:c>
      <x:c r="D2" s="1" t="s">
        <x:v>2529</x:v>
      </x:c>
      <x:c r="E2" s="1" t="s">
        <x:v>2529</x:v>
      </x:c>
      <x:c r="F2" s="46" t="s">
        <x:v>2531</x:v>
      </x:c>
      <x:c r="H2" s="1" t="s">
        <x:v>2388</x:v>
      </x:c>
      <x:c r="I2" s="1" t="s">
        <x:v>2532</x:v>
      </x:c>
      <x:c r="J2" s="36">
        <x:v>46203.0</x:v>
      </x:c>
    </x:row>
    <x:row r="3">
      <x:c r="A3" s="1" t="s">
        <x:v>2533</x:v>
      </x:c>
      <x:c r="B3" s="1" t="s">
        <x:v>2534</x:v>
      </x:c>
      <x:c r="C3" s="1" t="s">
        <x:v>2530</x:v>
      </x:c>
      <x:c r="D3" s="1" t="s">
        <x:v>2534</x:v>
      </x:c>
      <x:c r="E3" s="1" t="s">
        <x:v>2534</x:v>
      </x:c>
      <x:c r="F3" s="47" t="s">
        <x:v>2535</x:v>
      </x:c>
      <x:c r="H3" s="1" t="s">
        <x:v>2388</x:v>
      </x:c>
      <x:c r="I3" s="1" t="s">
        <x:v>2532</x:v>
      </x:c>
      <x:c r="J3" s="36">
        <x:v>46209.0</x:v>
      </x:c>
    </x:row>
    <x:row r="4">
      <x:c r="A4" s="1" t="s">
        <x:v>2536</x:v>
      </x:c>
      <x:c r="B4" s="1" t="s">
        <x:v>2537</x:v>
      </x:c>
      <x:c r="C4" s="1" t="s">
        <x:v>2530</x:v>
      </x:c>
      <x:c r="D4" s="1" t="s">
        <x:v>2537</x:v>
      </x:c>
      <x:c r="E4" s="1" t="s">
        <x:v>2537</x:v>
      </x:c>
      <x:c r="F4" s="47" t="s">
        <x:v>2538</x:v>
      </x:c>
      <x:c r="H4" s="1" t="s">
        <x:v>2388</x:v>
      </x:c>
      <x:c r="I4" s="1" t="s">
        <x:v>2532</x:v>
      </x:c>
      <x:c r="J4" s="36">
        <x:v>46209.0</x:v>
      </x:c>
    </x:row>
    <x:row r="5">
      <x:c r="A5" s="1" t="s">
        <x:v>2539</x:v>
      </x:c>
      <x:c r="B5" s="1" t="s">
        <x:v>2540</x:v>
      </x:c>
      <x:c r="C5" s="1" t="s">
        <x:v>2530</x:v>
      </x:c>
      <x:c r="D5" s="1" t="s">
        <x:v>2540</x:v>
      </x:c>
      <x:c r="E5" s="1" t="s">
        <x:v>2540</x:v>
      </x:c>
      <x:c r="F5" s="47" t="s">
        <x:v>2541</x:v>
      </x:c>
      <x:c r="H5" s="1" t="s">
        <x:v>2388</x:v>
      </x:c>
      <x:c r="I5" s="1" t="s">
        <x:v>2532</x:v>
      </x:c>
      <x:c r="J5" s="36">
        <x:v>46209.0</x:v>
      </x:c>
    </x:row>
    <x:row r="6">
      <x:c r="A6" s="1" t="s">
        <x:v>2542</x:v>
      </x:c>
      <x:c r="B6" s="1" t="s">
        <x:v>2543</x:v>
      </x:c>
      <x:c r="C6" s="1" t="s">
        <x:v>2530</x:v>
      </x:c>
      <x:c r="D6" s="1" t="s">
        <x:v>2543</x:v>
      </x:c>
      <x:c r="E6" s="1" t="s">
        <x:v>2543</x:v>
      </x:c>
      <x:c r="F6" s="46" t="s">
        <x:v>2544</x:v>
      </x:c>
      <x:c r="H6" s="1" t="s">
        <x:v>2388</x:v>
      </x:c>
      <x:c r="I6" s="1" t="s">
        <x:v>2532</x:v>
      </x:c>
      <x:c r="J6" s="36">
        <x:v>46209.0</x:v>
      </x:c>
    </x:row>
    <x:row r="7">
      <x:c r="A7" s="1" t="s">
        <x:v>2545</x:v>
      </x:c>
      <x:c r="B7" s="1" t="s">
        <x:v>2546</x:v>
      </x:c>
      <x:c r="C7" s="1" t="s">
        <x:v>752</x:v>
      </x:c>
      <x:c r="D7" s="1" t="s">
        <x:v>2547</x:v>
      </x:c>
      <x:c r="F7" s="47" t="s">
        <x:v>2548</x:v>
      </x:c>
      <x:c r="G7" s="47" t="s">
        <x:v>2549</x:v>
      </x:c>
      <x:c r="H7" s="1" t="s">
        <x:v>2388</x:v>
      </x:c>
      <x:c r="I7" s="1" t="s">
        <x:v>2532</x:v>
      </x:c>
      <x:c r="J7" s="36">
        <x:v>46209.0</x:v>
      </x:c>
    </x:row>
    <x:row r="8">
      <x:c r="A8" s="1" t="s">
        <x:v>2550</x:v>
      </x:c>
      <x:c r="B8" s="1" t="s">
        <x:v>2551</x:v>
      </x:c>
      <x:c r="C8" s="1" t="s">
        <x:v>752</x:v>
      </x:c>
      <x:c r="D8" s="1" t="s">
        <x:v>2552</x:v>
      </x:c>
      <x:c r="F8" s="47" t="s">
        <x:v>2553</x:v>
      </x:c>
      <x:c r="G8" s="47" t="s">
        <x:v>2554</x:v>
      </x:c>
      <x:c r="H8" s="1" t="s">
        <x:v>2388</x:v>
      </x:c>
      <x:c r="I8" s="1" t="s">
        <x:v>2532</x:v>
      </x:c>
      <x:c r="J8" s="36">
        <x:v>46209.0</x:v>
      </x:c>
    </x:row>
    <x:row r="9">
      <x:c r="A9" s="1" t="s">
        <x:v>2555</x:v>
      </x:c>
      <x:c r="B9" s="1" t="s">
        <x:v>2556</x:v>
      </x:c>
      <x:c r="C9" s="1" t="s">
        <x:v>752</x:v>
      </x:c>
      <x:c r="D9" s="1" t="s">
        <x:v>2557</x:v>
      </x:c>
      <x:c r="F9" s="47" t="s">
        <x:v>2558</x:v>
      </x:c>
      <x:c r="G9" s="47" t="s">
        <x:v>2559</x:v>
      </x:c>
      <x:c r="H9" s="1" t="s">
        <x:v>2388</x:v>
      </x:c>
      <x:c r="I9" s="1" t="s">
        <x:v>2532</x:v>
      </x:c>
      <x:c r="J9" s="36">
        <x:v>46209.0</x:v>
      </x:c>
    </x:row>
    <x:row r="10">
      <x:c r="A10" s="1" t="s">
        <x:v>2560</x:v>
      </x:c>
      <x:c r="B10" s="1" t="s">
        <x:v>2561</x:v>
      </x:c>
      <x:c r="C10" s="1" t="s">
        <x:v>752</x:v>
      </x:c>
      <x:c r="D10" s="1" t="s">
        <x:v>2562</x:v>
      </x:c>
      <x:c r="F10" s="47" t="s">
        <x:v>2563</x:v>
      </x:c>
      <x:c r="G10" s="47" t="s">
        <x:v>2564</x:v>
      </x:c>
      <x:c r="H10" s="1" t="s">
        <x:v>2388</x:v>
      </x:c>
      <x:c r="I10" s="1" t="s">
        <x:v>2532</x:v>
      </x:c>
      <x:c r="J10" s="36">
        <x:v>46209.0</x:v>
      </x:c>
    </x:row>
    <x:row r="11">
      <x:c r="A11" s="1" t="s">
        <x:v>2565</x:v>
      </x:c>
      <x:c r="B11" s="1" t="s">
        <x:v>2566</x:v>
      </x:c>
      <x:c r="C11" s="1" t="s">
        <x:v>752</x:v>
      </x:c>
      <x:c r="D11" s="1" t="s">
        <x:v>2567</x:v>
      </x:c>
      <x:c r="F11" s="47" t="s">
        <x:v>2568</x:v>
      </x:c>
      <x:c r="G11" s="47" t="s">
        <x:v>2569</x:v>
      </x:c>
      <x:c r="H11" s="1" t="s">
        <x:v>2388</x:v>
      </x:c>
      <x:c r="I11" s="1" t="s">
        <x:v>2532</x:v>
      </x:c>
      <x:c r="J11" s="36">
        <x:v>46209.0</x:v>
      </x:c>
    </x:row>
  </x:sheetData>
  <x:hyperlinks>
    <x:hyperlink xmlns:r="http://schemas.openxmlformats.org/officeDocument/2006/relationships" ref="F2" r:id="R450876fd08d740ff"/>
    <x:hyperlink xmlns:r="http://schemas.openxmlformats.org/officeDocument/2006/relationships" ref="F3" r:id="R869914236e734b1f"/>
    <x:hyperlink xmlns:r="http://schemas.openxmlformats.org/officeDocument/2006/relationships" ref="F4" r:id="R011e9c9e45b74516"/>
    <x:hyperlink xmlns:r="http://schemas.openxmlformats.org/officeDocument/2006/relationships" ref="F5" r:id="R78f31f5d40d74177"/>
    <x:hyperlink xmlns:r="http://schemas.openxmlformats.org/officeDocument/2006/relationships" ref="F6" r:id="R3e9a1e5114204abc"/>
    <x:hyperlink xmlns:r="http://schemas.openxmlformats.org/officeDocument/2006/relationships" ref="F7" r:id="R198160cb072d4410"/>
    <x:hyperlink xmlns:r="http://schemas.openxmlformats.org/officeDocument/2006/relationships" ref="G7" r:id="R27fa5c76b3a3447b"/>
    <x:hyperlink xmlns:r="http://schemas.openxmlformats.org/officeDocument/2006/relationships" ref="F8" r:id="Rad0e2f23711a400f"/>
    <x:hyperlink xmlns:r="http://schemas.openxmlformats.org/officeDocument/2006/relationships" ref="G8" r:id="R0fa3c8d18d624715"/>
    <x:hyperlink xmlns:r="http://schemas.openxmlformats.org/officeDocument/2006/relationships" ref="F9" r:id="R2ea7254863924165"/>
    <x:hyperlink xmlns:r="http://schemas.openxmlformats.org/officeDocument/2006/relationships" ref="G9" r:id="Rc421c23322be4ecf"/>
    <x:hyperlink xmlns:r="http://schemas.openxmlformats.org/officeDocument/2006/relationships" ref="F10" r:id="R5483c314feae46c3"/>
    <x:hyperlink xmlns:r="http://schemas.openxmlformats.org/officeDocument/2006/relationships" ref="G10" r:id="R5944f0107625498c"/>
    <x:hyperlink xmlns:r="http://schemas.openxmlformats.org/officeDocument/2006/relationships" ref="F11" r:id="Rc1d96cc330024a4c"/>
    <x:hyperlink xmlns:r="http://schemas.openxmlformats.org/officeDocument/2006/relationships" ref="G11" r:id="R6f654f475fba416a"/>
  </x:hyperlinks>
  <x:pageMargins left="0.7" right="0.7" top="0.75" bottom="0.75" header="0.3" footer="0.3"/>
</x:worksheet>
</file>

<file path=xl/worksheets/sheet46.xml><?xml version="1.0" encoding="utf-8"?>
<x:worksheet xmlns:x="http://schemas.openxmlformats.org/spreadsheetml/2006/main">
  <x:sheetPr>
    <x:tabColor rgb="FFFFF2CC"/>
  </x:sheetPr>
  <x:sheetFormatPr defaultColWidth="12.630000114440918" defaultRowHeight="15.75"/>
  <x:sheetData>
    <x:row r="1">
      <x:c r="A1" s="1" t="s">
        <x:v>2454</x:v>
      </x:c>
      <x:c r="B1" s="1" t="s">
        <x:v>2179</x:v>
      </x:c>
      <x:c r="C1" s="1" t="s">
        <x:v>2519</x:v>
      </x:c>
      <x:c r="D1" s="1" t="s">
        <x:v>755</x:v>
      </x:c>
      <x:c r="E1" s="1" t="s">
        <x:v>751</x:v>
      </x:c>
      <x:c r="F1" s="1" t="s">
        <x:v>2570</x:v>
      </x:c>
      <x:c r="G1" s="1" t="s">
        <x:v>2571</x:v>
      </x:c>
      <x:c r="H1" s="1" t="s">
        <x:v>2572</x:v>
      </x:c>
      <x:c r="I1" s="1" t="s">
        <x:v>137</x:v>
      </x:c>
    </x:row>
    <x:row r="2">
      <x:c r="A2" s="1" t="s">
        <x:v>2573</x:v>
      </x:c>
      <x:c r="B2" s="1" t="s">
        <x:v>2574</x:v>
      </x:c>
      <x:c r="C2" s="1" t="s">
        <x:v>2528</x:v>
      </x:c>
      <x:c r="D2" s="1" t="s">
        <x:v>2575</x:v>
      </x:c>
      <x:c r="E2" s="1">
        <x:v>1.0</x:v>
      </x:c>
      <x:c r="F2" s="1" t="s">
        <x:v>2388</x:v>
      </x:c>
      <x:c r="G2" s="1" t="s">
        <x:v>2576</x:v>
      </x:c>
      <x:c r="H2" s="1" t="s">
        <x:v>2577</x:v>
      </x:c>
    </x:row>
    <x:row r="3">
      <x:c r="A3" s="1" t="s">
        <x:v>2578</x:v>
      </x:c>
      <x:c r="B3" s="1" t="s">
        <x:v>2579</x:v>
      </x:c>
      <x:c r="C3" s="1" t="s">
        <x:v>2533</x:v>
      </x:c>
      <x:c r="D3" s="1" t="s">
        <x:v>2534</x:v>
      </x:c>
      <x:c r="F3" s="1" t="s">
        <x:v>2388</x:v>
      </x:c>
      <x:c r="G3" s="1" t="s">
        <x:v>2580</x:v>
      </x:c>
      <x:c r="H3" s="1" t="s">
        <x:v>2580</x:v>
      </x:c>
    </x:row>
    <x:row r="4">
      <x:c r="A4" s="1" t="s">
        <x:v>2581</x:v>
      </x:c>
      <x:c r="B4" s="1" t="s">
        <x:v>2582</x:v>
      </x:c>
      <x:c r="C4" s="1" t="s">
        <x:v>2536</x:v>
      </x:c>
      <x:c r="D4" s="1" t="s">
        <x:v>2537</x:v>
      </x:c>
      <x:c r="F4" s="1" t="s">
        <x:v>2388</x:v>
      </x:c>
      <x:c r="G4" s="1" t="s">
        <x:v>2583</x:v>
      </x:c>
      <x:c r="H4" s="1" t="s">
        <x:v>2583</x:v>
      </x:c>
    </x:row>
    <x:row r="5">
      <x:c r="A5" s="1" t="s">
        <x:v>2584</x:v>
      </x:c>
      <x:c r="B5" s="1" t="s">
        <x:v>2585</x:v>
      </x:c>
      <x:c r="C5" s="1" t="s">
        <x:v>2539</x:v>
      </x:c>
      <x:c r="D5" s="1" t="s">
        <x:v>2540</x:v>
      </x:c>
      <x:c r="F5" s="1" t="s">
        <x:v>2388</x:v>
      </x:c>
      <x:c r="G5" s="1" t="s">
        <x:v>2586</x:v>
      </x:c>
      <x:c r="H5" s="1" t="s">
        <x:v>2586</x:v>
      </x:c>
    </x:row>
    <x:row r="6">
      <x:c r="A6" s="1" t="s">
        <x:v>2587</x:v>
      </x:c>
      <x:c r="B6" s="1" t="s">
        <x:v>2588</x:v>
      </x:c>
      <x:c r="C6" s="1" t="s">
        <x:v>2542</x:v>
      </x:c>
      <x:c r="D6" s="1" t="s">
        <x:v>2543</x:v>
      </x:c>
      <x:c r="F6" s="1" t="s">
        <x:v>2388</x:v>
      </x:c>
      <x:c r="G6" s="1" t="s">
        <x:v>2589</x:v>
      </x:c>
      <x:c r="H6" s="1" t="s">
        <x:v>2589</x:v>
      </x:c>
    </x:row>
    <x:row r="7">
      <x:c r="A7" s="1" t="s">
        <x:v>2590</x:v>
      </x:c>
      <x:c r="B7" s="1" t="s">
        <x:v>2386</x:v>
      </x:c>
      <x:c r="C7" s="1" t="s">
        <x:v>2545</x:v>
      </x:c>
      <x:c r="D7" s="1" t="s">
        <x:v>2547</x:v>
      </x:c>
      <x:c r="F7" s="1" t="s">
        <x:v>2388</x:v>
      </x:c>
      <x:c r="G7" s="1" t="s">
        <x:v>2591</x:v>
      </x:c>
      <x:c r="H7" s="1" t="s">
        <x:v>2591</x:v>
      </x:c>
    </x:row>
    <x:row r="8">
      <x:c r="A8" s="1" t="s">
        <x:v>2592</x:v>
      </x:c>
      <x:c r="B8" s="1" t="s">
        <x:v>2398</x:v>
      </x:c>
      <x:c r="C8" s="1" t="s">
        <x:v>2550</x:v>
      </x:c>
      <x:c r="D8" s="1" t="s">
        <x:v>2552</x:v>
      </x:c>
      <x:c r="F8" s="1" t="s">
        <x:v>2388</x:v>
      </x:c>
      <x:c r="G8" s="1" t="s">
        <x:v>2593</x:v>
      </x:c>
      <x:c r="H8" s="1" t="s">
        <x:v>2593</x:v>
      </x:c>
    </x:row>
    <x:row r="9">
      <x:c r="A9" s="1" t="s">
        <x:v>2594</x:v>
      </x:c>
      <x:c r="B9" s="1" t="s">
        <x:v>2408</x:v>
      </x:c>
      <x:c r="C9" s="1" t="s">
        <x:v>2555</x:v>
      </x:c>
      <x:c r="D9" s="1" t="s">
        <x:v>2557</x:v>
      </x:c>
      <x:c r="F9" s="1" t="s">
        <x:v>2388</x:v>
      </x:c>
      <x:c r="G9" s="1" t="s">
        <x:v>2595</x:v>
      </x:c>
      <x:c r="H9" s="1" t="s">
        <x:v>2595</x:v>
      </x:c>
    </x:row>
    <x:row r="10">
      <x:c r="A10" s="1" t="s">
        <x:v>2596</x:v>
      </x:c>
      <x:c r="B10" s="1" t="s">
        <x:v>150</x:v>
      </x:c>
      <x:c r="C10" s="1" t="s">
        <x:v>2560</x:v>
      </x:c>
      <x:c r="D10" s="1" t="s">
        <x:v>2562</x:v>
      </x:c>
      <x:c r="F10" s="1" t="s">
        <x:v>2388</x:v>
      </x:c>
      <x:c r="G10" s="1" t="s">
        <x:v>2597</x:v>
      </x:c>
      <x:c r="H10" s="1" t="s">
        <x:v>2597</x:v>
      </x:c>
    </x:row>
    <x:row r="11">
      <x:c r="A11" s="1" t="s">
        <x:v>2598</x:v>
      </x:c>
      <x:c r="B11" s="1" t="s">
        <x:v>2425</x:v>
      </x:c>
      <x:c r="C11" s="1" t="s">
        <x:v>2565</x:v>
      </x:c>
      <x:c r="D11" s="1" t="s">
        <x:v>2567</x:v>
      </x:c>
      <x:c r="F11" s="1" t="s">
        <x:v>2388</x:v>
      </x:c>
      <x:c r="G11" s="1" t="s">
        <x:v>2599</x:v>
      </x:c>
      <x:c r="H11" s="1" t="s">
        <x:v>2599</x:v>
      </x:c>
    </x:row>
    <x:row r="12">
      <x:c r="A12" s="1" t="s">
        <x:v>2600</x:v>
      </x:c>
      <x:c r="B12" s="1" t="s">
        <x:v>2435</x:v>
      </x:c>
      <x:c r="C12" s="1" t="s">
        <x:v>2560</x:v>
      </x:c>
      <x:c r="D12" s="1" t="s">
        <x:v>2601</x:v>
      </x:c>
      <x:c r="F12" s="1" t="s">
        <x:v>2388</x:v>
      </x:c>
      <x:c r="G12" s="1" t="s">
        <x:v>2602</x:v>
      </x:c>
      <x:c r="H12" s="1" t="s">
        <x:v>2602</x:v>
      </x:c>
    </x:row>
  </x:sheetData>
  <x:pageMargins left="0.7" right="0.7" top="0.75" bottom="0.75" header="0.3" footer="0.3"/>
</x:worksheet>
</file>

<file path=xl/worksheets/sheet47.xml><?xml version="1.0" encoding="utf-8"?>
<x:worksheet xmlns:x="http://schemas.openxmlformats.org/spreadsheetml/2006/main">
  <x:sheetFormatPr defaultColWidth="12.630000114440918" defaultRowHeight="15.75"/>
  <x:sheetData>
    <x:row r="1">
      <x:c r="A1" s="1" t="s">
        <x:v>2603</x:v>
      </x:c>
      <x:c r="B1" s="1" t="s">
        <x:v>2604</x:v>
      </x:c>
      <x:c r="C1" s="5" t="s">
        <x:v>2179</x:v>
      </x:c>
      <x:c r="D1" s="5" t="s">
        <x:v>2187</x:v>
      </x:c>
      <x:c r="E1" s="45" t="s">
        <x:v>2605</x:v>
      </x:c>
      <x:c r="F1" s="44" t="s">
        <x:v>2606</x:v>
      </x:c>
      <x:c r="G1" s="42" t="s">
        <x:v>2607</x:v>
      </x:c>
    </x:row>
    <x:row r="2">
      <x:c r="A2" s="1" t="s">
        <x:v>2608</x:v>
      </x:c>
      <x:c r="B2" s="44" t="s">
        <x:v>2609</x:v>
      </x:c>
      <x:c r="C2" s="1" t="s">
        <x:v>2408</x:v>
      </x:c>
      <x:c r="E2" s="37">
        <x:v>22.6</x:v>
      </x:c>
      <x:c r="F2" s="1" t="s">
        <x:v>2610</x:v>
      </x:c>
      <x:c r="G2" s="1">
        <x:v>3.0</x:v>
      </x:c>
      <x:c r="H2" s="43"/>
    </x:row>
    <x:row r="3">
      <x:c r="A3" s="1" t="s">
        <x:v>2611</x:v>
      </x:c>
      <x:c r="B3" s="45" t="s">
        <x:v>2612</x:v>
      </x:c>
      <x:c r="C3" s="1" t="s">
        <x:v>2472</x:v>
      </x:c>
      <x:c r="D3" s="1" t="s">
        <x:v>2471</x:v>
      </x:c>
      <x:c r="E3" s="37">
        <x:v>10.0</x:v>
      </x:c>
      <x:c r="F3" s="37" t="s">
        <x:v>2613</x:v>
      </x:c>
      <x:c r="G3" s="1">
        <x:v>20.0</x:v>
      </x:c>
      <x:c r="H3" s="43"/>
    </x:row>
    <x:row r="4">
      <x:c r="A4" s="1" t="s">
        <x:v>2614</x:v>
      </x:c>
      <x:c r="B4" s="45" t="s">
        <x:v>2615</x:v>
      </x:c>
      <x:c r="C4" s="1" t="s">
        <x:v>2472</x:v>
      </x:c>
      <x:c r="D4" s="1" t="s">
        <x:v>2476</x:v>
      </x:c>
      <x:c r="E4" s="37">
        <x:v>10.0</x:v>
      </x:c>
      <x:c r="F4" s="37" t="s">
        <x:v>2613</x:v>
      </x:c>
      <x:c r="G4" s="1">
        <x:v>20.0</x:v>
      </x:c>
      <x:c r="H4" s="43"/>
    </x:row>
    <x:row r="5">
      <x:c r="A5" s="1" t="s">
        <x:v>2616</x:v>
      </x:c>
      <x:c r="B5" s="45" t="s">
        <x:v>2617</x:v>
      </x:c>
      <x:c r="C5" s="1" t="s">
        <x:v>2618</x:v>
      </x:c>
      <x:c r="D5" s="1" t="s">
        <x:v>2479</x:v>
      </x:c>
      <x:c r="E5" s="1">
        <x:v>7.0</x:v>
      </x:c>
      <x:c r="F5" s="1" t="s">
        <x:v>2619</x:v>
      </x:c>
      <x:c r="G5" s="1">
        <x:v>20.0</x:v>
      </x:c>
      <x:c r="H5" s="43"/>
    </x:row>
    <x:row r="6">
      <x:c r="A6" s="1" t="s">
        <x:v>2620</x:v>
      </x:c>
      <x:c r="B6" s="45" t="s">
        <x:v>2621</x:v>
      </x:c>
      <x:c r="C6" s="1" t="s">
        <x:v>2622</x:v>
      </x:c>
      <x:c r="E6" s="1">
        <x:v>1.5</x:v>
      </x:c>
      <x:c r="F6" s="37" t="s">
        <x:v>2623</x:v>
      </x:c>
      <x:c r="G6" s="1">
        <x:v>20.0</x:v>
      </x:c>
      <x:c r="H6" s="43"/>
    </x:row>
    <x:row r="7">
      <x:c r="A7" s="1" t="s">
        <x:v>2624</x:v>
      </x:c>
      <x:c r="B7" s="45" t="s">
        <x:v>2625</x:v>
      </x:c>
      <x:c r="C7" s="1" t="s">
        <x:v>2626</x:v>
      </x:c>
      <x:c r="E7" s="1">
        <x:v>0.5</x:v>
      </x:c>
      <x:c r="F7" s="1" t="s">
        <x:v>2623</x:v>
      </x:c>
      <x:c r="G7" s="1">
        <x:v>10.0</x:v>
      </x:c>
    </x:row>
    <x:row r="8">
      <x:c r="A8" s="1" t="s">
        <x:v>2627</x:v>
      </x:c>
      <x:c r="B8" s="45" t="s">
        <x:v>2628</x:v>
      </x:c>
      <x:c r="C8" s="1" t="s">
        <x:v>150</x:v>
      </x:c>
      <x:c r="D8" s="1" t="s">
        <x:v>2455</x:v>
      </x:c>
      <x:c r="E8" s="1">
        <x:v>8.38</x:v>
      </x:c>
      <x:c r="F8" s="1" t="s">
        <x:v>2610</x:v>
      </x:c>
      <x:c r="G8" s="1">
        <x:v>2.0</x:v>
      </x:c>
      <x:c r="H8" s="5"/>
      <x:c r="I8" s="5"/>
    </x:row>
    <x:row r="9">
      <x:c r="A9" s="1" t="s">
        <x:v>2629</x:v>
      </x:c>
      <x:c r="B9" s="45" t="s">
        <x:v>2630</x:v>
      </x:c>
      <x:c r="C9" s="1" t="s">
        <x:v>150</x:v>
      </x:c>
      <x:c r="D9" s="1" t="s">
        <x:v>2462</x:v>
      </x:c>
      <x:c r="E9" s="1">
        <x:v>8.38</x:v>
      </x:c>
      <x:c r="F9" s="1" t="s">
        <x:v>2610</x:v>
      </x:c>
      <x:c r="G9" s="1">
        <x:v>2.0</x:v>
      </x:c>
    </x:row>
    <x:row r="10">
      <x:c r="A10" s="1" t="s">
        <x:v>2631</x:v>
      </x:c>
      <x:c r="B10" s="45" t="s">
        <x:v>2632</x:v>
      </x:c>
      <x:c r="C10" s="1" t="s">
        <x:v>150</x:v>
      </x:c>
      <x:c r="D10" s="1" t="s">
        <x:v>2465</x:v>
      </x:c>
      <x:c r="E10" s="1">
        <x:v>8.38</x:v>
      </x:c>
      <x:c r="F10" s="1" t="s">
        <x:v>2610</x:v>
      </x:c>
      <x:c r="G10" s="1">
        <x:v>2.0</x:v>
      </x:c>
    </x:row>
    <x:row r="11">
      <x:c r="A11" s="1" t="s">
        <x:v>2633</x:v>
      </x:c>
      <x:c r="B11" s="45" t="s">
        <x:v>2634</x:v>
      </x:c>
      <x:c r="C11" s="1" t="s">
        <x:v>150</x:v>
      </x:c>
      <x:c r="D11" s="1" t="s">
        <x:v>2459</x:v>
      </x:c>
      <x:c r="E11" s="1">
        <x:v>8.38</x:v>
      </x:c>
      <x:c r="F11" s="1" t="s">
        <x:v>2610</x:v>
      </x:c>
      <x:c r="G11" s="1">
        <x:v>2.0</x:v>
      </x:c>
    </x:row>
    <x:row r="12">
      <x:c r="A12" s="1" t="s">
        <x:v>2635</x:v>
      </x:c>
      <x:c r="B12" s="45" t="s">
        <x:v>2636</x:v>
      </x:c>
      <x:c r="C12" s="1" t="s">
        <x:v>150</x:v>
      </x:c>
      <x:c r="D12" s="1" t="s">
        <x:v>2468</x:v>
      </x:c>
      <x:c r="E12" s="1">
        <x:v>8.38</x:v>
      </x:c>
      <x:c r="F12" s="1" t="s">
        <x:v>2610</x:v>
      </x:c>
      <x:c r="G12" s="1">
        <x:v>2.0</x:v>
      </x:c>
    </x:row>
    <x:row r="13">
      <x:c r="A13" s="1" t="s">
        <x:v>2637</x:v>
      </x:c>
      <x:c r="B13" s="44" t="s">
        <x:v>2508</x:v>
      </x:c>
      <x:c r="C13" s="1" t="s">
        <x:v>2507</x:v>
      </x:c>
      <x:c r="D13" s="1" t="s">
        <x:v>2506</x:v>
      </x:c>
      <x:c r="E13" s="1">
        <x:v>5.7</x:v>
      </x:c>
      <x:c r="G13" s="1">
        <x:v>5.0</x:v>
      </x:c>
    </x:row>
    <x:row r="14">
      <x:c r="A14" s="1" t="s">
        <x:v>2638</x:v>
      </x:c>
      <x:c r="B14" s="44" t="s">
        <x:v>2510</x:v>
      </x:c>
      <x:c r="C14" s="1" t="s">
        <x:v>2507</x:v>
      </x:c>
      <x:c r="D14" s="1" t="s">
        <x:v>2509</x:v>
      </x:c>
      <x:c r="E14" s="1">
        <x:v>5.7</x:v>
      </x:c>
      <x:c r="G14" s="1">
        <x:v>5.0</x:v>
      </x:c>
    </x:row>
    <x:row r="15">
      <x:c r="A15" s="1" t="s">
        <x:v>2639</x:v>
      </x:c>
      <x:c r="B15" s="44" t="s">
        <x:v>2512</x:v>
      </x:c>
      <x:c r="C15" s="1" t="s">
        <x:v>2507</x:v>
      </x:c>
      <x:c r="D15" s="1" t="s">
        <x:v>2511</x:v>
      </x:c>
      <x:c r="E15" s="1">
        <x:v>5.7</x:v>
      </x:c>
      <x:c r="G15" s="1">
        <x:v>5.0</x:v>
      </x:c>
    </x:row>
    <x:row r="16">
      <x:c r="A16" s="1" t="s">
        <x:v>2640</x:v>
      </x:c>
      <x:c r="B16" s="44" t="s">
        <x:v>2514</x:v>
      </x:c>
      <x:c r="C16" s="1" t="s">
        <x:v>2507</x:v>
      </x:c>
      <x:c r="D16" s="1" t="s">
        <x:v>2513</x:v>
      </x:c>
      <x:c r="E16" s="1">
        <x:v>5.7</x:v>
      </x:c>
      <x:c r="G16" s="1">
        <x:v>5.0</x:v>
      </x:c>
    </x:row>
    <x:row r="17">
      <x:c r="A17" s="1" t="s">
        <x:v>2641</x:v>
      </x:c>
      <x:c r="B17" s="45" t="s">
        <x:v>2516</x:v>
      </x:c>
      <x:c r="C17" s="1" t="s">
        <x:v>2507</x:v>
      </x:c>
      <x:c r="D17" s="1" t="s">
        <x:v>2515</x:v>
      </x:c>
      <x:c r="E17" s="1">
        <x:v>5.7</x:v>
      </x:c>
      <x:c r="G17" s="1">
        <x:v>5.0</x:v>
      </x:c>
    </x:row>
    <x:row r="18">
      <x:c r="A18" s="1" t="s">
        <x:v>2642</x:v>
      </x:c>
      <x:c r="B18" s="45" t="s">
        <x:v>2643</x:v>
      </x:c>
      <x:c r="C18" s="1" t="s">
        <x:v>2425</x:v>
      </x:c>
      <x:c r="E18" s="1">
        <x:v>10.23</x:v>
      </x:c>
      <x:c r="G18" s="1">
        <x:v>5.0</x:v>
      </x:c>
    </x:row>
    <x:row r="19">
      <x:c r="A19" s="1" t="s">
        <x:v>2644</x:v>
      </x:c>
      <x:c r="B19" s="45" t="s">
        <x:v>2645</x:v>
      </x:c>
      <x:c r="C19" s="1" t="s">
        <x:v>2646</x:v>
      </x:c>
      <x:c r="E19" s="37">
        <x:v>1.3</x:v>
      </x:c>
      <x:c r="F19" s="1"/>
      <x:c r="G19" s="1">
        <x:v>0.0</x:v>
      </x:c>
    </x:row>
    <x:row r="20">
      <x:c r="A20" s="1" t="s">
        <x:v>2647</x:v>
      </x:c>
      <x:c r="B20" s="45" t="s">
        <x:v>2648</x:v>
      </x:c>
      <x:c r="C20" s="1" t="s">
        <x:v>2386</x:v>
      </x:c>
      <x:c r="D20" s="1" t="s">
        <x:v>2444</x:v>
      </x:c>
      <x:c r="E20" s="37">
        <x:v>3.6</x:v>
      </x:c>
      <x:c r="F20" s="1" t="s">
        <x:v>2649</x:v>
      </x:c>
      <x:c r="G20" s="1">
        <x:v>3.0</x:v>
      </x:c>
    </x:row>
    <x:row r="21">
      <x:c r="A21" s="1" t="s">
        <x:v>2650</x:v>
      </x:c>
      <x:c r="B21" s="45" t="s">
        <x:v>2387</x:v>
      </x:c>
      <x:c r="C21" s="1" t="s">
        <x:v>2651</x:v>
      </x:c>
      <x:c r="D21" s="1"/>
      <x:c r="E21" s="1">
        <x:v>1.0</x:v>
      </x:c>
      <x:c r="F21" s="1"/>
      <x:c r="G21" s="1">
        <x:v>3.0</x:v>
      </x:c>
    </x:row>
    <x:row r="22">
      <x:c r="A22" s="1" t="s">
        <x:v>2652</x:v>
      </x:c>
      <x:c r="B22" s="44" t="s">
        <x:v>2653</x:v>
      </x:c>
      <x:c r="C22" s="1" t="s">
        <x:v>2398</x:v>
      </x:c>
      <x:c r="D22" s="1" t="s">
        <x:v>2483</x:v>
      </x:c>
      <x:c r="E22" s="1">
        <x:v>10.0</x:v>
      </x:c>
      <x:c r="F22" s="1" t="s">
        <x:v>2619</x:v>
      </x:c>
      <x:c r="G22" s="1">
        <x:v>4.0</x:v>
      </x:c>
    </x:row>
    <x:row r="23">
      <x:c r="A23" s="1" t="s">
        <x:v>2654</x:v>
      </x:c>
      <x:c r="B23" s="1" t="s">
        <x:v>2655</x:v>
      </x:c>
      <x:c r="C23" s="1" t="s">
        <x:v>2656</x:v>
      </x:c>
      <x:c r="E23" s="1">
        <x:v>3.6</x:v>
      </x:c>
      <x:c r="F23" s="1" t="s">
        <x:v>2657</x:v>
      </x:c>
      <x:c r="G23" s="1">
        <x:v>10.0</x:v>
      </x:c>
    </x:row>
    <x:row r="24">
      <x:c r="A24" s="1" t="s">
        <x:v>2658</x:v>
      </x:c>
      <x:c r="B24" s="1" t="s">
        <x:v>2659</x:v>
      </x:c>
      <x:c r="C24" s="1" t="s">
        <x:v>2656</x:v>
      </x:c>
      <x:c r="E24" s="1">
        <x:v>2.18</x:v>
      </x:c>
      <x:c r="F24" s="1" t="s">
        <x:v>2657</x:v>
      </x:c>
      <x:c r="G24" s="1">
        <x:v>10.0</x:v>
      </x:c>
    </x:row>
    <x:row r="25">
      <x:c r="A25" s="1" t="s">
        <x:v>2660</x:v>
      </x:c>
      <x:c r="B25" s="1" t="s">
        <x:v>2661</x:v>
      </x:c>
      <x:c r="C25" s="1" t="s">
        <x:v>2486</x:v>
      </x:c>
      <x:c r="E25" s="1">
        <x:v>1.0</x:v>
      </x:c>
      <x:c r="F25" s="1" t="s">
        <x:v>2623</x:v>
      </x:c>
      <x:c r="G25" s="1">
        <x:v>10.0</x:v>
      </x:c>
    </x:row>
    <x:row r="26">
      <x:c r="A26" s="1" t="s">
        <x:v>2662</x:v>
      </x:c>
      <x:c r="B26" s="1" t="s">
        <x:v>2496</x:v>
      </x:c>
      <x:c r="C26" s="1" t="s">
        <x:v>2495</x:v>
      </x:c>
      <x:c r="D26" s="1" t="s">
        <x:v>2494</x:v>
      </x:c>
      <x:c r="E26" s="1">
        <x:v>2.0</x:v>
      </x:c>
      <x:c r="F26" s="1" t="s">
        <x:v>2663</x:v>
      </x:c>
      <x:c r="G26" s="1">
        <x:v>10.0</x:v>
      </x:c>
    </x:row>
    <x:row r="27">
      <x:c r="A27" s="1" t="s">
        <x:v>2664</x:v>
      </x:c>
      <x:c r="B27" s="1" t="s">
        <x:v>2498</x:v>
      </x:c>
      <x:c r="C27" s="1" t="s">
        <x:v>2495</x:v>
      </x:c>
      <x:c r="D27" s="1" t="s">
        <x:v>2497</x:v>
      </x:c>
      <x:c r="E27" s="1">
        <x:v>2.0</x:v>
      </x:c>
      <x:c r="F27" s="1" t="s">
        <x:v>2663</x:v>
      </x:c>
      <x:c r="G27" s="1">
        <x:v>10.0</x:v>
      </x:c>
    </x:row>
    <x:row r="28">
      <x:c r="A28" s="1" t="s">
        <x:v>2665</x:v>
      </x:c>
      <x:c r="B28" s="45" t="s">
        <x:v>2666</x:v>
      </x:c>
      <x:c r="C28" s="1" t="s">
        <x:v>2667</x:v>
      </x:c>
      <x:c r="E28" s="37">
        <x:v>4.05</x:v>
      </x:c>
      <x:c r="F28" s="1" t="s">
        <x:v>2668</x:v>
      </x:c>
      <x:c r="G28" s="1">
        <x:v>0.0</x:v>
      </x:c>
    </x:row>
    <x:row r="29">
      <x:c r="A29" s="1" t="s">
        <x:v>2669</x:v>
      </x:c>
      <x:c r="B29" s="1" t="s">
        <x:v>2501</x:v>
      </x:c>
      <x:c r="C29" s="1" t="s">
        <x:v>2500</x:v>
      </x:c>
      <x:c r="D29" s="1" t="s">
        <x:v>2499</x:v>
      </x:c>
      <x:c r="E29" s="1">
        <x:v>0.5</x:v>
      </x:c>
      <x:c r="F29" s="1" t="s">
        <x:v>2623</x:v>
      </x:c>
      <x:c r="G29" s="1">
        <x:v>20.0</x:v>
      </x:c>
    </x:row>
    <x:row r="30">
      <x:c r="A30" s="1" t="s">
        <x:v>2670</x:v>
      </x:c>
      <x:c r="B30" s="1" t="s">
        <x:v>2503</x:v>
      </x:c>
      <x:c r="C30" s="1" t="s">
        <x:v>2500</x:v>
      </x:c>
      <x:c r="D30" s="1" t="s">
        <x:v>2502</x:v>
      </x:c>
      <x:c r="E30" s="1">
        <x:v>0.5</x:v>
      </x:c>
      <x:c r="F30" s="1" t="s">
        <x:v>2623</x:v>
      </x:c>
      <x:c r="G30" s="1">
        <x:v>20.0</x:v>
      </x:c>
    </x:row>
    <x:row r="31">
      <x:c r="A31" s="1" t="s">
        <x:v>2671</x:v>
      </x:c>
      <x:c r="B31" s="1" t="s">
        <x:v>2505</x:v>
      </x:c>
      <x:c r="C31" s="1" t="s">
        <x:v>2500</x:v>
      </x:c>
      <x:c r="D31" s="1" t="s">
        <x:v>2504</x:v>
      </x:c>
      <x:c r="E31" s="1">
        <x:v>0.5</x:v>
      </x:c>
      <x:c r="F31" s="1" t="s">
        <x:v>2623</x:v>
      </x:c>
      <x:c r="G31" s="1">
        <x:v>20.0</x:v>
      </x:c>
    </x:row>
  </x:sheetData>
  <x:pageMargins left="0.7" right="0.7" top="0.75" bottom="0.75" header="0.3" footer="0.3"/>
</x:worksheet>
</file>

<file path=xl/worksheets/sheet48.xml><?xml version="1.0" encoding="utf-8"?>
<x:worksheet xmlns:x="http://schemas.openxmlformats.org/spreadsheetml/2006/main">
  <x:sheetPr>
    <x:tabColor rgb="FFE6B8AF"/>
  </x:sheetPr>
  <x:sheetFormatPr defaultColWidth="12.630000114440918" defaultRowHeight="15.75"/>
  <x:sheetData>
    <x:row r="1">
      <x:c r="A1" s="5" t="s">
        <x:v>2672</x:v>
      </x:c>
      <x:c r="B1" s="5" t="s">
        <x:v>2179</x:v>
      </x:c>
      <x:c r="C1" s="5" t="s">
        <x:v>2673</x:v>
      </x:c>
      <x:c r="D1" s="5" t="s">
        <x:v>2674</x:v>
      </x:c>
    </x:row>
    <x:row r="2">
      <x:c r="A2" s="1">
        <x:v>1.0</x:v>
      </x:c>
      <x:c r="B2" s="1" t="s">
        <x:v>2675</x:v>
      </x:c>
      <x:c r="C2" s="1" t="s">
        <x:v>680</x:v>
      </x:c>
      <x:c r="D2" s="1">
        <x:v>12.0</x:v>
      </x:c>
    </x:row>
    <x:row r="3">
      <x:c r="A3" s="1">
        <x:v>2.0</x:v>
      </x:c>
      <x:c r="B3" s="1" t="s">
        <x:v>2676</x:v>
      </x:c>
      <x:c r="C3" s="1" t="s">
        <x:v>2677</x:v>
      </x:c>
      <x:c r="D3" s="1">
        <x:v>5.0</x:v>
      </x:c>
    </x:row>
    <x:row r="4">
      <x:c r="A4" s="1">
        <x:v>3.0</x:v>
      </x:c>
      <x:c r="B4" s="1" t="s">
        <x:v>2678</x:v>
      </x:c>
      <x:c r="C4" s="1" t="s">
        <x:v>2679</x:v>
      </x:c>
      <x:c r="D4" s="1">
        <x:v>30.0</x:v>
      </x:c>
    </x:row>
  </x:sheetData>
  <x:pageMargins left="0.7" right="0.7" top="0.75" bottom="0.75" header="0.3" footer="0.3"/>
</x:worksheet>
</file>

<file path=xl/worksheets/sheet49.xml><?xml version="1.0" encoding="utf-8"?>
<x:worksheet xmlns:x="http://schemas.openxmlformats.org/spreadsheetml/2006/main">
  <x:sheetPr>
    <x:tabColor rgb="FFE6B8AF"/>
  </x:sheetPr>
  <x:sheetFormatPr defaultColWidth="12.630000114440918" defaultRowHeight="15.75"/>
  <x:sheetData>
    <x:row r="1">
      <x:c r="A1" s="5" t="s">
        <x:v>2680</x:v>
      </x:c>
      <x:c r="B1" s="1" t="s">
        <x:v>2681</x:v>
      </x:c>
      <x:c r="C1" s="1" t="s">
        <x:v>2673</x:v>
      </x:c>
      <x:c r="D1" s="1" t="s">
        <x:v>2674</x:v>
      </x:c>
      <x:c r="E1" s="1" t="s">
        <x:v>2682</x:v>
      </x:c>
      <x:c r="F1" s="1" t="s">
        <x:v>2683</x:v>
      </x:c>
      <x:c r="G1" s="1" t="s">
        <x:v>2684</x:v>
      </x:c>
    </x:row>
  </x:sheetData>
  <x:pageMargins left="0.7" right="0.7" top="0.75" bottom="0.75" header="0.3" footer="0.3"/>
</x:worksheet>
</file>

<file path=xl/worksheets/sheet50.xml><?xml version="1.0" encoding="utf-8"?>
<x:worksheet xmlns:x="http://schemas.openxmlformats.org/spreadsheetml/2006/main">
  <x:sheetPr>
    <x:tabColor rgb="FFE6B8AF"/>
  </x:sheetPr>
  <x:sheetFormatPr defaultColWidth="12.630000114440918" defaultRowHeight="15.75"/>
  <x:sheetData>
    <x:row r="1">
      <x:c r="A1" s="1" t="s">
        <x:v>2685</x:v>
      </x:c>
      <x:c r="B1" s="1" t="s">
        <x:v>2686</x:v>
      </x:c>
      <x:c r="C1" s="1" t="s">
        <x:v>135</x:v>
      </x:c>
      <x:c r="D1" s="1" t="s">
        <x:v>2179</x:v>
      </x:c>
      <x:c r="E1" s="1" t="s">
        <x:v>2687</x:v>
      </x:c>
      <x:c r="F1" s="1" t="s">
        <x:v>2688</x:v>
      </x:c>
      <x:c r="G1" s="1" t="s">
        <x:v>2689</x:v>
      </x:c>
      <x:c r="H1" s="1" t="s">
        <x:v>2690</x:v>
      </x:c>
      <x:c r="I1" s="1" t="s">
        <x:v>2683</x:v>
      </x:c>
      <x:c r="J1" s="1" t="s">
        <x:v>2691</x:v>
      </x:c>
      <x:c r="K1" s="1" t="s">
        <x:v>2692</x:v>
      </x:c>
      <x:c r="L1" s="1" t="s">
        <x:v>137</x:v>
      </x:c>
    </x:row>
  </x:sheetData>
  <x:pageMargins left="0.7" right="0.7" top="0.75" bottom="0.75" header="0.3" footer="0.3"/>
</x:worksheet>
</file>

<file path=xl/worksheets/sheet51.xml><?xml version="1.0" encoding="utf-8"?>
<x:worksheet xmlns:x="http://schemas.openxmlformats.org/spreadsheetml/2006/main">
  <x:sheetPr>
    <x:tabColor rgb="FFE6B8AF"/>
  </x:sheetPr>
  <x:sheetFormatPr defaultColWidth="12.630000114440918" defaultRowHeight="15.75"/>
  <x:sheetData>
    <x:row r="1">
      <x:c r="A1" s="1" t="s">
        <x:v>2693</x:v>
      </x:c>
      <x:c r="B1" s="1" t="s">
        <x:v>2686</x:v>
      </x:c>
      <x:c r="C1" s="1" t="s">
        <x:v>135</x:v>
      </x:c>
      <x:c r="D1" s="1" t="s">
        <x:v>2694</x:v>
      </x:c>
      <x:c r="E1" s="1" t="s">
        <x:v>2695</x:v>
      </x:c>
      <x:c r="F1" s="1" t="s">
        <x:v>2696</x:v>
      </x:c>
      <x:c r="G1" s="1" t="s">
        <x:v>2697</x:v>
      </x:c>
      <x:c r="H1" s="1" t="s">
        <x:v>2689</x:v>
      </x:c>
      <x:c r="I1" s="1" t="s">
        <x:v>2690</x:v>
      </x:c>
      <x:c r="J1" s="1" t="s">
        <x:v>2698</x:v>
      </x:c>
      <x:c r="K1" s="1" t="s">
        <x:v>2699</x:v>
      </x:c>
      <x:c r="L1" s="1" t="s">
        <x:v>2700</x:v>
      </x:c>
      <x:c r="M1" s="1" t="s">
        <x:v>2179</x:v>
      </x:c>
      <x:c r="N1" s="1" t="s">
        <x:v>2701</x:v>
      </x:c>
      <x:c r="O1" s="1" t="s">
        <x:v>2702</x:v>
      </x:c>
      <x:c r="P1" s="1" t="s">
        <x:v>137</x:v>
      </x:c>
    </x:row>
  </x:sheetData>
  <x:pageMargins left="0.7" right="0.7" top="0.75" bottom="0.75" header="0.3" footer="0.3"/>
</x:worksheet>
</file>

<file path=xl/worksheets/sheet52.xml><?xml version="1.0" encoding="utf-8"?>
<x:worksheet xmlns:x="http://schemas.openxmlformats.org/spreadsheetml/2006/main">
  <x:sheetPr>
    <x:tabColor rgb="FFE6B8AF"/>
  </x:sheetPr>
  <x:sheetFormatPr defaultColWidth="12.630000114440918" defaultRowHeight="15.75"/>
  <x:sheetData>
    <x:row r="1">
      <x:c r="A1" s="1" t="s">
        <x:v>2686</x:v>
      </x:c>
      <x:c r="B1" s="1" t="s">
        <x:v>2703</x:v>
      </x:c>
    </x:row>
  </x:sheetData>
  <x:pageMargins left="0.7" right="0.7" top="0.75" bottom="0.75" header="0.3" footer="0.3"/>
</x:worksheet>
</file>

<file path=xl/worksheets/sheet53.xml><?xml version="1.0" encoding="utf-8"?>
<x:worksheet xmlns:x="http://schemas.openxmlformats.org/spreadsheetml/2006/main">
  <x:sheetFormatPr defaultColWidth="12.630000114440918" defaultRowHeight="15.75"/>
  <x:sheetData>
    <x:row r="1">
      <x:c r="A1" s="1" t="s">
        <x:v>2704</x:v>
      </x:c>
      <x:c r="B1" s="1" t="s">
        <x:v>2705</x:v>
      </x:c>
      <x:c r="C1" s="1" t="s">
        <x:v>2706</x:v>
      </x:c>
      <x:c r="D1" s="1" t="s">
        <x:v>216</x:v>
      </x:c>
      <x:c r="E1" s="1" t="s">
        <x:v>2707</x:v>
      </x:c>
      <x:c r="F1" s="1" t="s">
        <x:v>414</x:v>
      </x:c>
      <x:c r="G1" s="1" t="s">
        <x:v>2176</x:v>
      </x:c>
      <x:c r="H1" s="1" t="s">
        <x:v>446</x:v>
      </x:c>
      <x:c r="I1" s="1" t="s">
        <x:v>2696</x:v>
      </x:c>
      <x:c r="J1" s="1" t="s">
        <x:v>135</x:v>
      </x:c>
      <x:c r="K1" s="1" t="s">
        <x:v>2708</x:v>
      </x:c>
      <x:c r="L1" s="1" t="s">
        <x:v>2709</x:v>
      </x:c>
      <x:c r="M1" s="1" t="s">
        <x:v>2710</x:v>
      </x:c>
      <x:c r="N1" s="1" t="s">
        <x:v>2711</x:v>
      </x:c>
    </x:row>
    <x:row r="12">
      <x:c r="F12" s="5"/>
      <x:c r="G12" s="5"/>
    </x:row>
  </x:sheetData>
  <x:pageMargins left="0.7" right="0.7" top="0.75" bottom="0.75" header="0.3" footer="0.3"/>
</x:worksheet>
</file>

<file path=xl/worksheets/sheet54.xml><?xml version="1.0" encoding="utf-8"?>
<x:worksheet xmlns:x="http://schemas.openxmlformats.org/spreadsheetml/2006/main">
  <x:sheetFormatPr defaultColWidth="12.630000114440918" defaultRowHeight="15.75"/>
  <x:sheetData>
    <x:row r="1">
      <x:c r="A1" s="1" t="s">
        <x:v>2712</x:v>
      </x:c>
      <x:c r="B1" s="1" t="s">
        <x:v>2704</x:v>
      </x:c>
      <x:c r="C1" s="1" t="s">
        <x:v>2713</x:v>
      </x:c>
      <x:c r="D1" s="1" t="s">
        <x:v>2714</x:v>
      </x:c>
      <x:c r="E1" s="1" t="s">
        <x:v>2715</x:v>
      </x:c>
      <x:c r="F1" s="1" t="s">
        <x:v>2707</x:v>
      </x:c>
      <x:c r="G1" s="1" t="s">
        <x:v>446</x:v>
      </x:c>
      <x:c r="H1" s="1" t="s">
        <x:v>2176</x:v>
      </x:c>
      <x:c r="I1" s="1" t="s">
        <x:v>2716</x:v>
      </x:c>
      <x:c r="J1" s="1" t="s">
        <x:v>2717</x:v>
      </x:c>
      <x:c r="K1" s="1" t="s">
        <x:v>2718</x:v>
      </x:c>
      <x:c r="L1" s="1" t="s">
        <x:v>2719</x:v>
      </x:c>
      <x:c r="M1" s="1" t="s">
        <x:v>2720</x:v>
      </x:c>
      <x:c r="N1" s="1" t="s">
        <x:v>2721</x:v>
      </x:c>
      <x:c r="O1" s="1" t="s">
        <x:v>2722</x:v>
      </x:c>
    </x:row>
  </x:sheetData>
  <x:pageMargins left="0.7" right="0.7" top="0.75" bottom="0.75" header="0.3" footer="0.3"/>
</x:worksheet>
</file>

<file path=xl/worksheets/sheet55.xml><?xml version="1.0" encoding="utf-8"?>
<x:worksheet xmlns:x="http://schemas.openxmlformats.org/spreadsheetml/2006/main">
  <x:sheetFormatPr defaultColWidth="12.630000114440918" defaultRowHeight="15.75"/>
  <x:sheetData>
    <x:row r="1">
      <x:c r="A1" s="1" t="s">
        <x:v>2723</x:v>
      </x:c>
      <x:c r="B1" s="1" t="s">
        <x:v>2712</x:v>
      </x:c>
      <x:c r="C1" s="1" t="s">
        <x:v>2248</x:v>
      </x:c>
      <x:c r="D1" s="1" t="s">
        <x:v>768</x:v>
      </x:c>
      <x:c r="E1" s="1" t="s">
        <x:v>2178</x:v>
      </x:c>
      <x:c r="F1" s="1" t="s">
        <x:v>2724</x:v>
      </x:c>
      <x:c r="G1" s="1" t="s">
        <x:v>646</x:v>
      </x:c>
      <x:c r="H1" s="1" t="s">
        <x:v>2725</x:v>
      </x:c>
      <x:c r="I1" s="1" t="s">
        <x:v>2726</x:v>
      </x:c>
      <x:c r="J1" s="1" t="s">
        <x:v>2727</x:v>
      </x:c>
      <x:c r="K1" s="1" t="s">
        <x:v>2728</x:v>
      </x:c>
      <x:c r="L1" s="1" t="s">
        <x:v>2729</x:v>
      </x:c>
      <x:c r="M1" s="1" t="s">
        <x:v>2730</x:v>
      </x:c>
      <x:c r="N1" s="1" t="s">
        <x:v>2731</x:v>
      </x:c>
      <x:c r="O1" s="1" t="s">
        <x:v>2732</x:v>
      </x:c>
      <x:c r="P1" s="1" t="s">
        <x:v>2733</x:v>
      </x:c>
      <x:c r="Q1" s="1" t="s">
        <x:v>2734</x:v>
      </x:c>
      <x:c r="R1" s="1" t="s">
        <x:v>2735</x:v>
      </x:c>
      <x:c r="S1" s="1" t="s">
        <x:v>2736</x:v>
      </x:c>
      <x:c r="T1" s="1" t="s">
        <x:v>2737</x:v>
      </x:c>
      <x:c r="U1" s="1" t="s">
        <x:v>2738</x:v>
      </x:c>
    </x:row>
  </x:sheetData>
  <x:pageMargins left="0.7" right="0.7" top="0.75" bottom="0.75" header="0.3" footer="0.3"/>
</x:worksheet>
</file>

<file path=xl/worksheets/sheet56.xml><?xml version="1.0" encoding="utf-8"?>
<x:worksheet xmlns:x="http://schemas.openxmlformats.org/spreadsheetml/2006/main">
  <x:sheetFormatPr defaultColWidth="12.630000114440918" defaultRowHeight="15.75"/>
  <x:sheetData>
    <x:row r="1">
      <x:c r="A1" s="24" t="s">
        <x:v>2739</x:v>
      </x:c>
      <x:c r="B1" s="24" t="s">
        <x:v>414</x:v>
      </x:c>
      <x:c r="C1" s="24" t="s">
        <x:v>2740</x:v>
      </x:c>
      <x:c r="D1" s="24" t="s">
        <x:v>2741</x:v>
      </x:c>
      <x:c r="E1" s="24" t="s">
        <x:v>2742</x:v>
      </x:c>
      <x:c r="F1" s="24" t="s">
        <x:v>2743</x:v>
      </x:c>
    </x:row>
    <x:row r="2">
      <x:c r="A2" s="25"/>
    </x:row>
    <x:row r="3">
      <x:c r="A3" s="25"/>
    </x:row>
    <x:row r="4">
      <x:c r="A4" s="25"/>
    </x:row>
    <x:row r="5">
      <x:c r="A5" s="25"/>
    </x:row>
    <x:row r="6">
      <x:c r="A6" s="25"/>
    </x:row>
  </x:sheetData>
  <x:pageMargins left="0.7" right="0.7" top="0.75" bottom="0.75" header="0.3" footer="0.3"/>
</x:worksheet>
</file>

<file path=xl/worksheets/sheet57.xml><?xml version="1.0" encoding="utf-8"?>
<x:worksheet xmlns:x="http://schemas.openxmlformats.org/spreadsheetml/2006/main">
  <x:sheetFormatPr defaultColWidth="12.630000114440918" defaultRowHeight="15.75"/>
  <x:sheetData>
    <x:row r="1">
      <x:c r="A1" s="1" t="s">
        <x:v>2744</x:v>
      </x:c>
      <x:c r="B1" s="1" t="s">
        <x:v>2704</x:v>
      </x:c>
      <x:c r="C1" s="1" t="s">
        <x:v>2745</x:v>
      </x:c>
      <x:c r="D1" s="1" t="s">
        <x:v>414</x:v>
      </x:c>
      <x:c r="E1" s="1" t="s">
        <x:v>2746</x:v>
      </x:c>
      <x:c r="F1" s="1" t="s">
        <x:v>2747</x:v>
      </x:c>
      <x:c r="G1" s="1" t="s">
        <x:v>2748</x:v>
      </x:c>
    </x:row>
  </x:sheetData>
  <x:pageMargins left="0.7" right="0.7" top="0.75" bottom="0.75" header="0.3" footer="0.3"/>
</x:worksheet>
</file>

<file path=xl/worksheets/sheet58.xml><?xml version="1.0" encoding="utf-8"?>
<x:worksheet xmlns:x="http://schemas.openxmlformats.org/spreadsheetml/2006/main">
  <x:sheetFormatPr defaultColWidth="12.630000114440918" defaultRowHeight="15.75"/>
  <x:sheetData>
    <x:row r="1">
      <x:c r="A1" s="1" t="s">
        <x:v>2749</x:v>
      </x:c>
      <x:c r="B1" s="1" t="s">
        <x:v>2750</x:v>
      </x:c>
      <x:c r="C1" s="1" t="s">
        <x:v>2751</x:v>
      </x:c>
      <x:c r="D1" s="1" t="s">
        <x:v>2752</x:v>
      </x:c>
      <x:c r="E1" s="1" t="s">
        <x:v>2753</x:v>
      </x:c>
      <x:c r="F1" s="1" t="s">
        <x:v>2754</x:v>
      </x:c>
      <x:c r="G1" s="1" t="s">
        <x:v>2755</x:v>
      </x:c>
      <x:c r="H1" s="1" t="s">
        <x:v>2756</x:v>
      </x:c>
      <x:c r="I1" s="1" t="s">
        <x:v>2757</x:v>
      </x:c>
      <x:c r="J1" s="1" t="s">
        <x:v>2758</x:v>
      </x:c>
      <x:c r="K1" s="1" t="s">
        <x:v>2759</x:v>
      </x:c>
      <x:c r="L1" s="1" t="s">
        <x:v>2760</x:v>
      </x:c>
      <x:c r="M1" s="1" t="s">
        <x:v>119</x:v>
      </x:c>
      <x:c r="N1" s="1" t="s">
        <x:v>2761</x:v>
      </x:c>
      <x:c r="O1" s="1" t="s">
        <x:v>108</x:v>
      </x:c>
      <x:c r="P1" s="1" t="s">
        <x:v>2762</x:v>
      </x:c>
      <x:c r="Q1" s="1" t="s">
        <x:v>2763</x:v>
      </x:c>
      <x:c r="R1" s="1" t="s">
        <x:v>2764</x:v>
      </x:c>
      <x:c r="S1" s="1" t="s">
        <x:v>2765</x:v>
      </x:c>
      <x:c r="T1" s="1" t="s">
        <x:v>2766</x:v>
      </x:c>
      <x:c r="U1" s="1" t="s">
        <x:v>2767</x:v>
      </x:c>
      <x:c r="V1" s="1" t="s">
        <x:v>2768</x:v>
      </x:c>
      <x:c r="W1" s="1" t="s">
        <x:v>2769</x:v>
      </x:c>
      <x:c r="X1" s="1" t="s">
        <x:v>2770</x:v>
      </x:c>
      <x:c r="Y1" s="1" t="s">
        <x:v>2771</x:v>
      </x:c>
      <x:c r="Z1" s="1" t="s">
        <x:v>2772</x:v>
      </x:c>
      <x:c r="AA1" s="1" t="s">
        <x:v>2773</x:v>
      </x:c>
      <x:c r="AB1" s="1" t="s">
        <x:v>2774</x:v>
      </x:c>
      <x:c r="AC1" s="1" t="s">
        <x:v>2775</x:v>
      </x:c>
    </x:row>
  </x:sheetData>
  <x:pageMargins left="0.7" right="0.7" top="0.75" bottom="0.75" header="0.3" footer="0.3"/>
</x:worksheet>
</file>

<file path=xl/worksheets/sheet59.xml><?xml version="1.0" encoding="utf-8"?>
<x:worksheet xmlns:x="http://schemas.openxmlformats.org/spreadsheetml/2006/main">
  <x:sheetFormatPr defaultColWidth="12.630000114440918" defaultRowHeight="15.75"/>
  <x:sheetData>
    <x:row r="1">
      <x:c r="A1" s="1" t="s">
        <x:v>2776</x:v>
      </x:c>
      <x:c r="B1" s="1" t="s">
        <x:v>2749</x:v>
      </x:c>
      <x:c r="C1" s="1" t="s">
        <x:v>106</x:v>
      </x:c>
      <x:c r="D1" s="1" t="s">
        <x:v>2179</x:v>
      </x:c>
      <x:c r="E1" s="1" t="s">
        <x:v>2187</x:v>
      </x:c>
      <x:c r="F1" s="1" t="s">
        <x:v>2368</x:v>
      </x:c>
      <x:c r="G1" s="1" t="s">
        <x:v>2188</x:v>
      </x:c>
      <x:c r="H1" s="1" t="s">
        <x:v>2372</x:v>
      </x:c>
      <x:c r="I1" s="1" t="s">
        <x:v>2777</x:v>
      </x:c>
      <x:c r="J1" s="1" t="s">
        <x:v>2778</x:v>
      </x:c>
      <x:c r="K1" s="1" t="s">
        <x:v>2779</x:v>
      </x:c>
      <x:c r="L1" s="1" t="s">
        <x:v>2780</x:v>
      </x:c>
      <x:c r="M1" s="1" t="s">
        <x:v>2781</x:v>
      </x:c>
      <x:c r="N1" s="1" t="s">
        <x:v>2782</x:v>
      </x:c>
      <x:c r="O1" s="1" t="s">
        <x:v>2673</x:v>
      </x:c>
      <x:c r="P1" s="1" t="s">
        <x:v>2783</x:v>
      </x:c>
      <x:c r="Q1" s="1" t="s">
        <x:v>2784</x:v>
      </x:c>
      <x:c r="R1" s="1" t="s">
        <x:v>2785</x:v>
      </x:c>
      <x:c r="S1" s="1" t="s">
        <x:v>2786</x:v>
      </x:c>
      <x:c r="T1" s="1" t="s">
        <x:v>137</x:v>
      </x:c>
    </x:row>
  </x:sheetData>
  <x:pageMargins left="0.7" right="0.7" top="0.75" bottom="0.75" header="0.3" footer="0.3"/>
</x:worksheet>
</file>

<file path=xl/worksheets/sheet60.xml><?xml version="1.0" encoding="utf-8"?>
<x:worksheet xmlns:x="http://schemas.openxmlformats.org/spreadsheetml/2006/main">
  <x:sheetFormatPr defaultColWidth="12.630000114440918" defaultRowHeight="15.75"/>
  <x:sheetData>
    <x:row r="1">
      <x:c r="A1" s="1" t="s">
        <x:v>2787</x:v>
      </x:c>
      <x:c r="B1" s="1" t="s">
        <x:v>2749</x:v>
      </x:c>
      <x:c r="C1" s="1" t="s">
        <x:v>2750</x:v>
      </x:c>
      <x:c r="D1" s="1" t="s">
        <x:v>2788</x:v>
      </x:c>
      <x:c r="E1" s="1" t="s">
        <x:v>2789</x:v>
      </x:c>
      <x:c r="F1" s="1" t="s">
        <x:v>2790</x:v>
      </x:c>
      <x:c r="G1" s="1" t="s">
        <x:v>2791</x:v>
      </x:c>
      <x:c r="H1" s="1" t="s">
        <x:v>2792</x:v>
      </x:c>
      <x:c r="I1" s="1" t="s">
        <x:v>2793</x:v>
      </x:c>
      <x:c r="J1" s="1" t="s">
        <x:v>2794</x:v>
      </x:c>
      <x:c r="K1" s="1" t="s">
        <x:v>2795</x:v>
      </x:c>
      <x:c r="L1" s="1" t="s">
        <x:v>2796</x:v>
      </x:c>
      <x:c r="M1" s="1" t="s">
        <x:v>2774</x:v>
      </x:c>
    </x:row>
  </x:sheetData>
  <x:pageMargins left="0.7" right="0.7" top="0.75" bottom="0.75" header="0.3" footer="0.3"/>
</x:worksheet>
</file>

<file path=xl/worksheets/sheet61.xml><?xml version="1.0" encoding="utf-8"?>
<x:worksheet xmlns:x="http://schemas.openxmlformats.org/spreadsheetml/2006/main">
  <x:sheetFormatPr defaultColWidth="12.630000114440918" defaultRowHeight="15.75"/>
  <x:sheetData>
    <x:row r="1">
      <x:c r="A1" s="1" t="s">
        <x:v>2797</x:v>
      </x:c>
      <x:c r="B1" s="1" t="s">
        <x:v>2749</x:v>
      </x:c>
      <x:c r="C1" s="1" t="s">
        <x:v>2758</x:v>
      </x:c>
      <x:c r="D1" s="1" t="s">
        <x:v>2798</x:v>
      </x:c>
      <x:c r="E1" s="1" t="s">
        <x:v>2767</x:v>
      </x:c>
      <x:c r="F1" s="1" t="s">
        <x:v>2799</x:v>
      </x:c>
      <x:c r="G1" s="1" t="s">
        <x:v>2800</x:v>
      </x:c>
      <x:c r="H1" s="1" t="s">
        <x:v>2801</x:v>
      </x:c>
      <x:c r="I1" s="1" t="s">
        <x:v>2770</x:v>
      </x:c>
      <x:c r="J1" s="1" t="s">
        <x:v>2771</x:v>
      </x:c>
      <x:c r="K1" s="1" t="s">
        <x:v>2772</x:v>
      </x:c>
      <x:c r="L1" s="1" t="s">
        <x:v>2802</x:v>
      </x:c>
      <x:c r="M1" s="1" t="s">
        <x:v>2803</x:v>
      </x:c>
      <x:c r="N1" s="1" t="s">
        <x:v>2804</x:v>
      </x:c>
      <x:c r="O1" s="1" t="s">
        <x:v>2774</x:v>
      </x:c>
      <x:c r="P1" s="1" t="s">
        <x:v>2775</x:v>
      </x:c>
    </x:row>
  </x:sheetData>
  <x:pageMargins left="0.7" right="0.7" top="0.75" bottom="0.75" header="0.3" footer="0.3"/>
</x:worksheet>
</file>

<file path=xl/worksheets/sheet62.xml><?xml version="1.0" encoding="utf-8"?>
<x:worksheet xmlns:x="http://schemas.openxmlformats.org/spreadsheetml/2006/main">
  <x:sheetFormatPr defaultColWidth="12.630000114440918" defaultRowHeight="15.75"/>
  <x:sheetData>
    <x:row r="1">
      <x:c r="A1" s="1" t="s">
        <x:v>2805</x:v>
      </x:c>
      <x:c r="B1" s="1" t="s">
        <x:v>2806</x:v>
      </x:c>
      <x:c r="C1" s="1" t="s">
        <x:v>2807</x:v>
      </x:c>
      <x:c r="D1" s="1" t="s">
        <x:v>2808</x:v>
      </x:c>
      <x:c r="E1" s="1" t="s">
        <x:v>2809</x:v>
      </x:c>
      <x:c r="F1" s="1" t="s">
        <x:v>2749</x:v>
      </x:c>
      <x:c r="G1" s="1" t="s">
        <x:v>2751</x:v>
      </x:c>
      <x:c r="H1" s="1" t="s">
        <x:v>2752</x:v>
      </x:c>
      <x:c r="I1" s="1" t="s">
        <x:v>2753</x:v>
      </x:c>
      <x:c r="J1" s="1" t="s">
        <x:v>2810</x:v>
      </x:c>
      <x:c r="K1" s="1" t="s">
        <x:v>2811</x:v>
      </x:c>
      <x:c r="L1" s="1" t="s">
        <x:v>137</x:v>
      </x:c>
    </x:row>
  </x:sheetData>
  <x:pageMargins left="0.7" right="0.7" top="0.75" bottom="0.75" header="0.3" footer="0.3"/>
</x:worksheet>
</file>

<file path=xl/worksheets/sheet63.xml><?xml version="1.0" encoding="utf-8"?>
<x:worksheet xmlns:x="http://schemas.openxmlformats.org/spreadsheetml/2006/main">
  <x:sheetFormatPr defaultColWidth="12.630000114440918" defaultRowHeight="15.75"/>
  <x:sheetData>
    <x:row r="1">
      <x:c r="A1" s="1" t="s">
        <x:v>2812</x:v>
      </x:c>
      <x:c r="B1" s="1" t="s">
        <x:v>2749</x:v>
      </x:c>
      <x:c r="C1" s="1" t="s">
        <x:v>2813</x:v>
      </x:c>
      <x:c r="D1" s="1" t="s">
        <x:v>2814</x:v>
      </x:c>
      <x:c r="E1" s="1" t="s">
        <x:v>2815</x:v>
      </x:c>
      <x:c r="F1" s="1" t="s">
        <x:v>2816</x:v>
      </x:c>
      <x:c r="G1" s="1" t="s">
        <x:v>2817</x:v>
      </x:c>
      <x:c r="H1" s="1" t="s">
        <x:v>2818</x:v>
      </x:c>
      <x:c r="I1" s="1" t="s">
        <x:v>2819</x:v>
      </x:c>
      <x:c r="J1" s="1" t="s">
        <x:v>2820</x:v>
      </x:c>
      <x:c r="K1" s="1" t="s">
        <x:v>137</x:v>
      </x:c>
    </x:row>
  </x:sheetData>
  <x:pageMargins left="0.7" right="0.7" top="0.75" bottom="0.75" header="0.3" footer="0.3"/>
</x:worksheet>
</file>

<file path=xl/worksheets/sheet64.xml><?xml version="1.0" encoding="utf-8"?>
<x:worksheet xmlns:x="http://schemas.openxmlformats.org/spreadsheetml/2006/main">
  <x:sheetFormatPr defaultColWidth="12.630000114440918" defaultRowHeight="15.75"/>
  <x:sheetData>
    <x:row r="1">
      <x:c r="A1" s="25" t="s">
        <x:v>2713</x:v>
      </x:c>
      <x:c r="B1" s="25" t="s">
        <x:v>2821</x:v>
      </x:c>
      <x:c r="C1" s="25" t="s">
        <x:v>2822</x:v>
      </x:c>
      <x:c r="D1" s="25" t="s">
        <x:v>2823</x:v>
      </x:c>
      <x:c r="E1" s="25" t="s">
        <x:v>2824</x:v>
      </x:c>
      <x:c r="F1" s="25" t="s">
        <x:v>2825</x:v>
      </x:c>
      <x:c r="G1" s="25"/>
      <x:c r="H1" s="25"/>
      <x:c r="I1" s="25"/>
      <x:c r="J1" s="25"/>
      <x:c r="K1" s="25"/>
      <x:c r="L1" s="25"/>
      <x:c r="M1" s="25"/>
      <x:c r="N1" s="25"/>
      <x:c r="O1" s="25"/>
      <x:c r="P1" s="25"/>
      <x:c r="Q1" s="25"/>
      <x:c r="R1" s="25"/>
      <x:c r="S1" s="25"/>
      <x:c r="T1" s="25"/>
      <x:c r="U1" s="25"/>
      <x:c r="V1" s="25"/>
      <x:c r="W1" s="25"/>
      <x:c r="X1" s="25"/>
      <x:c r="Y1" s="25"/>
      <x:c r="Z1" s="25"/>
    </x:row>
  </x:sheetData>
  <x:pageMargins left="0.7" right="0.7" top="0.75" bottom="0.75" header="0.3" footer="0.3"/>
</x:worksheet>
</file>

<file path=xl/worksheets/sheet65.xml><?xml version="1.0" encoding="utf-8"?>
<x:worksheet xmlns:x="http://schemas.openxmlformats.org/spreadsheetml/2006/main">
  <x:sheetFormatPr defaultColWidth="12.630000114440918" defaultRowHeight="15.75"/>
  <x:sheetData>
    <x:row r="1">
      <x:c r="A1" s="44" t="s">
        <x:v>2826</x:v>
      </x:c>
      <x:c r="B1" s="44" t="s">
        <x:v>2827</x:v>
      </x:c>
      <x:c r="C1" s="44" t="s">
        <x:v>2828</x:v>
      </x:c>
      <x:c r="D1" s="44" t="s">
        <x:v>2829</x:v>
      </x:c>
      <x:c r="E1" s="44" t="s">
        <x:v>2790</x:v>
      </x:c>
      <x:c r="F1" s="44" t="s">
        <x:v>2830</x:v>
      </x:c>
      <x:c r="G1" s="44" t="s">
        <x:v>137</x:v>
      </x:c>
      <x:c r="H1" s="25"/>
      <x:c r="I1" s="25"/>
      <x:c r="J1" s="25"/>
      <x:c r="K1" s="25"/>
      <x:c r="L1" s="25"/>
      <x:c r="M1" s="25"/>
      <x:c r="N1" s="25"/>
      <x:c r="O1" s="25"/>
      <x:c r="P1" s="25"/>
      <x:c r="Q1" s="25"/>
      <x:c r="R1" s="25"/>
      <x:c r="S1" s="25"/>
      <x:c r="T1" s="25"/>
      <x:c r="U1" s="25"/>
      <x:c r="V1" s="25"/>
      <x:c r="W1" s="25"/>
      <x:c r="X1" s="25"/>
      <x:c r="Y1" s="25"/>
      <x:c r="Z1" s="25"/>
    </x:row>
    <x:row r="2">
      <x:c r="A2" s="44" t="s">
        <x:v>2613</x:v>
      </x:c>
      <x:c r="B2" s="44" t="s">
        <x:v>2831</x:v>
      </x:c>
      <x:c r="C2" s="48" t="s">
        <x:v>2832</x:v>
      </x:c>
      <x:c r="D2" s="44" t="s">
        <x:v>2833</x:v>
      </x:c>
      <x:c r="E2" s="44" t="s">
        <x:v>2834</x:v>
      </x:c>
      <x:c r="F2" s="44" t="s">
        <x:v>2835</x:v>
      </x:c>
      <x:c r="G2" s="44" t="s">
        <x:v>2836</x:v>
      </x:c>
      <x:c r="H2" s="25"/>
      <x:c r="I2" s="25"/>
      <x:c r="J2" s="25"/>
      <x:c r="K2" s="25"/>
      <x:c r="L2" s="25"/>
      <x:c r="M2" s="25"/>
      <x:c r="N2" s="25"/>
      <x:c r="O2" s="25"/>
      <x:c r="P2" s="25"/>
      <x:c r="Q2" s="25"/>
      <x:c r="R2" s="25"/>
      <x:c r="S2" s="25"/>
      <x:c r="T2" s="25"/>
      <x:c r="U2" s="25"/>
      <x:c r="V2" s="25"/>
      <x:c r="W2" s="25"/>
      <x:c r="X2" s="25"/>
      <x:c r="Y2" s="25"/>
      <x:c r="Z2" s="25"/>
    </x:row>
    <x:row r="3">
      <x:c r="A3" s="44" t="s">
        <x:v>2657</x:v>
      </x:c>
      <x:c r="B3" s="44" t="s">
        <x:v>2837</x:v>
      </x:c>
      <x:c r="C3" s="48" t="s">
        <x:v>2838</x:v>
      </x:c>
      <x:c r="D3" s="44" t="s">
        <x:v>2839</x:v>
      </x:c>
      <x:c r="E3" s="44" t="s">
        <x:v>2840</x:v>
      </x:c>
      <x:c r="F3" s="44" t="s">
        <x:v>2841</x:v>
      </x:c>
      <x:c r="G3" s="25"/>
      <x:c r="H3" s="25"/>
      <x:c r="I3" s="25"/>
      <x:c r="J3" s="25"/>
      <x:c r="K3" s="25"/>
      <x:c r="L3" s="25"/>
      <x:c r="M3" s="25"/>
      <x:c r="N3" s="25"/>
      <x:c r="O3" s="25"/>
      <x:c r="P3" s="25"/>
      <x:c r="Q3" s="25"/>
      <x:c r="R3" s="25"/>
      <x:c r="S3" s="25"/>
      <x:c r="T3" s="25"/>
      <x:c r="U3" s="25"/>
      <x:c r="V3" s="25"/>
      <x:c r="W3" s="25"/>
      <x:c r="X3" s="25"/>
      <x:c r="Y3" s="25"/>
      <x:c r="Z3" s="25"/>
    </x:row>
    <x:row r="4">
      <x:c r="A4" s="49" t="s">
        <x:v>2842</x:v>
      </x:c>
      <x:c r="B4" s="44" t="s">
        <x:v>2843</x:v>
      </x:c>
      <x:c r="C4" s="48" t="s">
        <x:v>2844</x:v>
      </x:c>
      <x:c r="D4" s="25"/>
      <x:c r="E4" s="25"/>
      <x:c r="F4" s="44" t="s">
        <x:v>2845</x:v>
      </x:c>
      <x:c r="G4" s="44" t="s">
        <x:v>2846</x:v>
      </x:c>
      <x:c r="H4" s="25"/>
      <x:c r="I4" s="25"/>
      <x:c r="J4" s="25"/>
      <x:c r="K4" s="25"/>
      <x:c r="L4" s="25"/>
      <x:c r="M4" s="25"/>
      <x:c r="N4" s="25"/>
      <x:c r="O4" s="25"/>
      <x:c r="P4" s="25"/>
      <x:c r="Q4" s="25"/>
      <x:c r="R4" s="25"/>
      <x:c r="S4" s="25"/>
      <x:c r="T4" s="25"/>
      <x:c r="U4" s="25"/>
      <x:c r="V4" s="25"/>
      <x:c r="W4" s="25"/>
      <x:c r="X4" s="25"/>
      <x:c r="Y4" s="25"/>
      <x:c r="Z4" s="25"/>
    </x:row>
    <x:row r="5">
      <x:c r="A5" s="44" t="s">
        <x:v>2623</x:v>
      </x:c>
      <x:c r="B5" s="25"/>
      <x:c r="C5" s="25"/>
      <x:c r="D5" s="25"/>
      <x:c r="E5" s="25"/>
      <x:c r="F5" s="44" t="s">
        <x:v>2847</x:v>
      </x:c>
      <x:c r="G5" s="25"/>
      <x:c r="H5" s="25"/>
      <x:c r="I5" s="25"/>
      <x:c r="J5" s="25"/>
      <x:c r="K5" s="25"/>
      <x:c r="L5" s="25"/>
      <x:c r="M5" s="25"/>
      <x:c r="N5" s="25"/>
      <x:c r="O5" s="25"/>
      <x:c r="P5" s="25"/>
      <x:c r="Q5" s="25"/>
      <x:c r="R5" s="25"/>
      <x:c r="S5" s="25"/>
      <x:c r="T5" s="25"/>
      <x:c r="U5" s="25"/>
      <x:c r="V5" s="25"/>
      <x:c r="W5" s="25"/>
      <x:c r="X5" s="25"/>
      <x:c r="Y5" s="25"/>
      <x:c r="Z5" s="25"/>
    </x:row>
    <x:row r="6">
      <x:c r="A6" s="44" t="s">
        <x:v>2848</x:v>
      </x:c>
      <x:c r="B6" s="25"/>
      <x:c r="C6" s="25"/>
      <x:c r="D6" s="25"/>
      <x:c r="E6" s="44" t="s">
        <x:v>2849</x:v>
      </x:c>
      <x:c r="F6" s="44" t="s">
        <x:v>2387</x:v>
      </x:c>
      <x:c r="G6" s="44" t="s">
        <x:v>2850</x:v>
      </x:c>
      <x:c r="H6" s="25"/>
      <x:c r="I6" s="25"/>
      <x:c r="J6" s="25"/>
      <x:c r="K6" s="25"/>
      <x:c r="L6" s="25"/>
      <x:c r="M6" s="25"/>
      <x:c r="N6" s="25"/>
      <x:c r="O6" s="25"/>
      <x:c r="P6" s="25"/>
      <x:c r="Q6" s="25"/>
      <x:c r="R6" s="25"/>
      <x:c r="S6" s="25"/>
      <x:c r="T6" s="25"/>
      <x:c r="U6" s="25"/>
      <x:c r="V6" s="25"/>
      <x:c r="W6" s="25"/>
      <x:c r="X6" s="25"/>
      <x:c r="Y6" s="25"/>
      <x:c r="Z6" s="25"/>
    </x:row>
    <x:row r="7">
      <x:c r="A7" s="44" t="s">
        <x:v>2851</x:v>
      </x:c>
      <x:c r="B7" s="44" t="s">
        <x:v>2852</x:v>
      </x:c>
      <x:c r="C7" s="44" t="s">
        <x:v>2853</x:v>
      </x:c>
      <x:c r="D7" s="25"/>
      <x:c r="E7" s="25"/>
      <x:c r="F7" s="44" t="s">
        <x:v>2854</x:v>
      </x:c>
      <x:c r="G7" s="44" t="s">
        <x:v>2855</x:v>
      </x:c>
      <x:c r="H7" s="25"/>
      <x:c r="I7" s="25"/>
      <x:c r="J7" s="25"/>
      <x:c r="K7" s="25"/>
      <x:c r="L7" s="25"/>
      <x:c r="M7" s="25"/>
      <x:c r="N7" s="25"/>
      <x:c r="O7" s="25"/>
      <x:c r="P7" s="25"/>
      <x:c r="Q7" s="25"/>
      <x:c r="R7" s="25"/>
      <x:c r="S7" s="25"/>
      <x:c r="T7" s="25"/>
      <x:c r="U7" s="25"/>
      <x:c r="V7" s="25"/>
      <x:c r="W7" s="25"/>
      <x:c r="X7" s="25"/>
      <x:c r="Y7" s="25"/>
      <x:c r="Z7" s="25"/>
    </x:row>
    <x:row r="8">
      <x:c r="A8" s="44" t="s">
        <x:v>2856</x:v>
      </x:c>
      <x:c r="B8" s="44" t="s">
        <x:v>2857</x:v>
      </x:c>
      <x:c r="C8" s="25"/>
      <x:c r="D8" s="25"/>
      <x:c r="E8" s="41">
        <x:v>4.32585016E8</x:v>
      </x:c>
      <x:c r="F8" s="44" t="s">
        <x:v>2858</x:v>
      </x:c>
      <x:c r="G8" s="44" t="s">
        <x:v>2859</x:v>
      </x:c>
      <x:c r="H8" s="25"/>
      <x:c r="I8" s="25"/>
      <x:c r="J8" s="25"/>
      <x:c r="K8" s="25"/>
      <x:c r="L8" s="25"/>
      <x:c r="M8" s="25"/>
      <x:c r="N8" s="25"/>
      <x:c r="O8" s="25"/>
      <x:c r="P8" s="25"/>
      <x:c r="Q8" s="25"/>
      <x:c r="R8" s="25"/>
      <x:c r="S8" s="25"/>
      <x:c r="T8" s="25"/>
      <x:c r="U8" s="25"/>
      <x:c r="V8" s="25"/>
      <x:c r="W8" s="25"/>
      <x:c r="X8" s="25"/>
      <x:c r="Y8" s="25"/>
      <x:c r="Z8" s="25"/>
    </x:row>
    <x:row r="9">
      <x:c r="A9" s="25"/>
      <x:c r="B9" s="25"/>
      <x:c r="C9" s="25"/>
      <x:c r="D9" s="25"/>
      <x:c r="E9" s="25"/>
      <x:c r="F9" s="25"/>
      <x:c r="G9" s="25"/>
      <x:c r="H9" s="25"/>
      <x:c r="I9" s="25"/>
      <x:c r="J9" s="25"/>
      <x:c r="K9" s="25"/>
      <x:c r="L9" s="25"/>
      <x:c r="M9" s="25"/>
      <x:c r="N9" s="25"/>
      <x:c r="O9" s="25"/>
      <x:c r="P9" s="25"/>
      <x:c r="Q9" s="25"/>
      <x:c r="R9" s="25"/>
      <x:c r="S9" s="25"/>
      <x:c r="T9" s="25"/>
      <x:c r="U9" s="25"/>
      <x:c r="V9" s="25"/>
      <x:c r="W9" s="25"/>
      <x:c r="X9" s="25"/>
      <x:c r="Y9" s="25"/>
      <x:c r="Z9" s="25"/>
    </x:row>
    <x:row r="10">
      <x:c r="A10" s="25"/>
      <x:c r="B10" s="25"/>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x:c r="A11" s="25"/>
      <x:c r="B11" s="25"/>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x:c r="A13" s="25"/>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x:c r="A14" s="25"/>
      <x:c r="B14" s="25"/>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x:c r="A15" s="25"/>
      <x:c r="B15" s="25"/>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x:c r="A16" s="25"/>
      <x:c r="B16" s="25"/>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row>
    <x:row r="1000">
      <x:c r="A1000" s="25"/>
      <x:c r="B1000" s="25"/>
      <x:c r="C1000" s="25"/>
      <x:c r="D1000" s="25"/>
      <x:c r="E1000" s="25"/>
      <x:c r="F1000" s="25"/>
      <x:c r="G1000" s="25"/>
      <x:c r="H1000" s="25"/>
      <x:c r="I1000" s="25"/>
      <x:c r="J1000" s="25"/>
      <x:c r="K1000" s="25"/>
      <x:c r="L1000" s="25"/>
      <x:c r="M1000" s="25"/>
      <x:c r="N1000" s="25"/>
      <x:c r="O1000" s="25"/>
      <x:c r="P1000" s="25"/>
      <x:c r="Q1000" s="25"/>
      <x:c r="R1000" s="25"/>
      <x:c r="S1000" s="25"/>
      <x:c r="T1000" s="25"/>
      <x:c r="U1000" s="25"/>
      <x:c r="V1000" s="25"/>
      <x:c r="W1000" s="25"/>
      <x:c r="X1000" s="25"/>
      <x:c r="Y1000" s="25"/>
      <x:c r="Z1000" s="25"/>
    </x:row>
  </x:sheetData>
  <x:hyperlinks>
    <x:hyperlink xmlns:r="http://schemas.openxmlformats.org/officeDocument/2006/relationships" ref="C2" r:id="Re41c159be57a4131"/>
    <x:hyperlink xmlns:r="http://schemas.openxmlformats.org/officeDocument/2006/relationships" ref="C3" r:id="R0c10a7bd67224c82"/>
    <x:hyperlink xmlns:r="http://schemas.openxmlformats.org/officeDocument/2006/relationships" ref="A4" r:id="Re01551de989f469d"/>
    <x:hyperlink xmlns:r="http://schemas.openxmlformats.org/officeDocument/2006/relationships" ref="C4" r:id="Rabeffdedf2a64c11"/>
  </x:hyperlinks>
  <x:pageMargins left="0.7" right="0.7" top="0.75" bottom="0.75" header="0.3" footer="0.3"/>
</x:worksheet>
</file>

<file path=xl/worksheets/sheet66.xml><?xml version="1.0" encoding="utf-8"?>
<x:worksheet xmlns:x="http://schemas.openxmlformats.org/spreadsheetml/2006/main">
  <x:sheetFormatPr defaultColWidth="12.630000114440918" defaultRowHeight="15.75"/>
  <x:sheetData>
    <x:row r="1">
      <x:c r="A1" s="1" t="s">
        <x:v>2681</x:v>
      </x:c>
      <x:c r="B1" s="1" t="s">
        <x:v>2789</x:v>
      </x:c>
      <x:c r="C1" s="1" t="s">
        <x:v>2790</x:v>
      </x:c>
      <x:c r="D1" s="1" t="s">
        <x:v>2829</x:v>
      </x:c>
      <x:c r="E1" s="1" t="s">
        <x:v>2860</x:v>
      </x:c>
      <x:c r="F1" s="1" t="s">
        <x:v>2861</x:v>
      </x:c>
      <x:c r="G1" s="1" t="s">
        <x:v>2793</x:v>
      </x:c>
      <x:c r="H1" s="1" t="s">
        <x:v>2862</x:v>
      </x:c>
      <x:c r="I1" s="1" t="s">
        <x:v>2863</x:v>
      </x:c>
      <x:c r="J1" s="1" t="s">
        <x:v>2864</x:v>
      </x:c>
      <x:c r="K1" s="1" t="s">
        <x:v>2865</x:v>
      </x:c>
      <x:c r="L1" s="1" t="s">
        <x:v>2866</x:v>
      </x:c>
      <x:c r="M1" s="1" t="s">
        <x:v>2867</x:v>
      </x:c>
      <x:c r="N1" s="1" t="s">
        <x:v>2868</x:v>
      </x:c>
      <x:c r="O1" s="1" t="s">
        <x:v>2753</x:v>
      </x:c>
      <x:c r="P1" s="1" t="s">
        <x:v>2869</x:v>
      </x:c>
      <x:c r="Q1" s="1" t="s">
        <x:v>2774</x:v>
      </x:c>
      <x:c r="R1" s="1" t="s">
        <x:v>2775</x:v>
      </x:c>
      <x:c r="S1" s="1" t="s">
        <x:v>2870</x:v>
      </x:c>
      <x:c r="T1" s="1" t="s">
        <x:v>137</x:v>
      </x:c>
    </x:row>
    <x:row r="2">
      <x:c r="A2" s="1" t="s">
        <x:v>737</x:v>
      </x:c>
      <x:c r="B2" s="1" t="s">
        <x:v>2871</x:v>
      </x:c>
      <x:c r="C2" s="1">
        <x:v>4.09576783E8</x:v>
      </x:c>
      <x:c r="D2" s="1" t="s">
        <x:v>2872</x:v>
      </x:c>
    </x:row>
  </x:sheetData>
  <x:pageMargins left="0.7" right="0.7" top="0.75" bottom="0.75" header="0.3" footer="0.3"/>
</x:worksheet>
</file>

<file path=xl/worksheets/sheet67.xml><?xml version="1.0" encoding="utf-8"?>
<x:worksheet xmlns:x="http://schemas.openxmlformats.org/spreadsheetml/2006/main">
  <x:sheetFormatPr defaultColWidth="12.630000114440918" defaultRowHeight="15.75"/>
  <x:sheetData>
    <x:row r="1">
      <x:c r="A1" s="1" t="s">
        <x:v>2873</x:v>
      </x:c>
      <x:c r="B1" s="1" t="s">
        <x:v>2681</x:v>
      </x:c>
      <x:c r="C1" s="1" t="s">
        <x:v>135</x:v>
      </x:c>
      <x:c r="D1" s="1" t="s">
        <x:v>2874</x:v>
      </x:c>
      <x:c r="E1" s="1" t="s">
        <x:v>2875</x:v>
      </x:c>
      <x:c r="F1" s="1" t="s">
        <x:v>2876</x:v>
      </x:c>
      <x:c r="G1" s="1" t="s">
        <x:v>2877</x:v>
      </x:c>
      <x:c r="H1" s="1" t="s">
        <x:v>2307</x:v>
      </x:c>
      <x:c r="I1" s="1"/>
      <x:c r="J1" s="1" t="s">
        <x:v>2878</x:v>
      </x:c>
      <x:c r="K1" s="1" t="s">
        <x:v>2879</x:v>
      </x:c>
      <x:c r="L1" s="1" t="s">
        <x:v>2774</x:v>
      </x:c>
      <x:c r="M1" s="1" t="s">
        <x:v>2775</x:v>
      </x:c>
      <x:c r="N1" s="1" t="s">
        <x:v>137</x:v>
      </x:c>
    </x:row>
    <x:row r="2">
      <x:c r="A2" s="1" t="s">
        <x:v>2880</x:v>
      </x:c>
      <x:c r="B2" s="1" t="s">
        <x:v>737</x:v>
      </x:c>
      <x:c r="C2" s="1" t="s">
        <x:v>2388</x:v>
      </x:c>
      <x:c r="D2" s="1" t="s">
        <x:v>2881</x:v>
      </x:c>
      <x:c r="E2" s="50"/>
      <x:c r="J2" s="51">
        <x:v>46211.0</x:v>
      </x:c>
      <x:c r="K2" s="1" t="s">
        <x:v>2882</x:v>
      </x:c>
      <x:c r="L2" s="51">
        <x:v>46211.0</x:v>
      </x:c>
    </x:row>
  </x:sheetData>
  <x:pageMargins left="0.7" right="0.7" top="0.75" bottom="0.75" header="0.3" footer="0.3"/>
</x:worksheet>
</file>

<file path=xl/worksheets/sheet68.xml><?xml version="1.0" encoding="utf-8"?>
<x:worksheet xmlns:x="http://schemas.openxmlformats.org/spreadsheetml/2006/main">
  <x:sheetFormatPr defaultColWidth="12.630000114440918" defaultRowHeight="15.75"/>
  <x:sheetData>
    <x:row r="1">
      <x:c r="A1" s="1" t="s">
        <x:v>2883</x:v>
      </x:c>
      <x:c r="B1" s="1" t="s">
        <x:v>2681</x:v>
      </x:c>
      <x:c r="C1" s="1" t="s">
        <x:v>135</x:v>
      </x:c>
      <x:c r="D1" s="1" t="s">
        <x:v>2884</x:v>
      </x:c>
      <x:c r="E1" s="1" t="s">
        <x:v>2885</x:v>
      </x:c>
      <x:c r="F1" s="1" t="s">
        <x:v>2886</x:v>
      </x:c>
      <x:c r="G1" s="1" t="s">
        <x:v>2887</x:v>
      </x:c>
      <x:c r="H1" s="1" t="s">
        <x:v>2888</x:v>
      </x:c>
      <x:c r="I1" s="1" t="s">
        <x:v>2889</x:v>
      </x:c>
      <x:c r="J1" s="1" t="s">
        <x:v>2876</x:v>
      </x:c>
      <x:c r="K1" s="1" t="s">
        <x:v>2877</x:v>
      </x:c>
      <x:c r="L1" s="1" t="s">
        <x:v>2878</x:v>
      </x:c>
      <x:c r="M1" s="1" t="s">
        <x:v>2879</x:v>
      </x:c>
      <x:c r="N1" s="1" t="s">
        <x:v>2774</x:v>
      </x:c>
      <x:c r="O1" s="1" t="s">
        <x:v>2775</x:v>
      </x:c>
      <x:c r="P1" s="1" t="s">
        <x:v>137</x:v>
      </x:c>
    </x:row>
    <x:row r="2">
      <x:c r="A2" s="1" t="s">
        <x:v>2890</x:v>
      </x:c>
      <x:c r="B2" s="1" t="s">
        <x:v>737</x:v>
      </x:c>
      <x:c r="C2" s="1" t="s">
        <x:v>2388</x:v>
      </x:c>
      <x:c r="D2" s="1" t="s">
        <x:v>2881</x:v>
      </x:c>
    </x:row>
    <x:row r="14">
      <x:c r="E14" s="1"/>
      <x:c r="F14" s="1"/>
    </x:row>
    <x:row r="15">
      <x:c r="E15" s="1"/>
      <x:c r="F15" s="1"/>
    </x:row>
    <x:row r="16">
      <x:c r="E16" s="1"/>
      <x:c r="F16" s="1"/>
    </x:row>
    <x:row r="17">
      <x:c r="E17" s="1"/>
      <x:c r="F17" s="1"/>
    </x:row>
    <x:row r="18">
      <x:c r="E18" s="1"/>
      <x:c r="F18" s="1"/>
    </x:row>
    <x:row r="19">
      <x:c r="E19" s="1"/>
      <x:c r="F19" s="1"/>
    </x:row>
    <x:row r="20">
      <x:c r="E20" s="1"/>
      <x:c r="F20" s="1"/>
    </x:row>
    <x:row r="21">
      <x:c r="E21" s="1"/>
      <x:c r="F21" s="1"/>
    </x:row>
    <x:row r="22">
      <x:c r="E22" s="1"/>
      <x:c r="F22" s="1"/>
    </x:row>
    <x:row r="23">
      <x:c r="E23" s="1"/>
      <x:c r="F23" s="1"/>
    </x:row>
    <x:row r="24">
      <x:c r="E24" s="1"/>
      <x:c r="F24" s="1"/>
    </x:row>
    <x:row r="25">
      <x:c r="E25" s="1"/>
      <x:c r="F25" s="1"/>
    </x:row>
  </x:sheetData>
  <x:pageMargins left="0.7" right="0.7" top="0.75" bottom="0.75" header="0.3" footer="0.3"/>
</x:worksheet>
</file>

<file path=xl/worksheets/sheet69.xml><?xml version="1.0" encoding="utf-8"?>
<x:worksheet xmlns:x="http://schemas.openxmlformats.org/spreadsheetml/2006/main">
  <x:sheetFormatPr defaultColWidth="12.630000114440918" defaultRowHeight="15.75"/>
  <x:sheetData>
    <x:row r="1">
      <x:c r="A1" s="1" t="s">
        <x:v>2891</x:v>
      </x:c>
      <x:c r="B1" s="1" t="s">
        <x:v>2681</x:v>
      </x:c>
      <x:c r="C1" s="1" t="s">
        <x:v>135</x:v>
      </x:c>
      <x:c r="D1" s="1" t="s">
        <x:v>2892</x:v>
      </x:c>
      <x:c r="E1" s="1" t="s">
        <x:v>2893</x:v>
      </x:c>
      <x:c r="F1" s="1" t="s">
        <x:v>2878</x:v>
      </x:c>
      <x:c r="G1" s="1" t="s">
        <x:v>2879</x:v>
      </x:c>
      <x:c r="H1" s="1" t="s">
        <x:v>2774</x:v>
      </x:c>
      <x:c r="I1" s="1" t="s">
        <x:v>2775</x:v>
      </x:c>
      <x:c r="J1" s="1" t="s">
        <x:v>137</x:v>
      </x:c>
    </x:row>
    <x:row r="2">
      <x:c r="A2" s="1" t="s">
        <x:v>2894</x:v>
      </x:c>
      <x:c r="B2" s="1" t="s">
        <x:v>737</x:v>
      </x:c>
      <x:c r="C2" s="1" t="s">
        <x:v>2388</x:v>
      </x:c>
      <x:c r="D2" s="1" t="s">
        <x:v>2881</x:v>
      </x:c>
      <x:c r="E2" s="1" t="s">
        <x:v>2895</x:v>
      </x:c>
    </x:row>
  </x:sheetData>
  <x:pageMargins left="0.7" right="0.7" top="0.75" bottom="0.75" header="0.3" footer="0.3"/>
</x:worksheet>
</file>

<file path=xl/worksheets/sheet70.xml><?xml version="1.0" encoding="utf-8"?>
<x:worksheet xmlns:x="http://schemas.openxmlformats.org/spreadsheetml/2006/main">
  <x:sheetPr>
    <x:tabColor rgb="FFD9D2E9"/>
  </x:sheetPr>
  <x:sheetFormatPr defaultColWidth="12.630000114440918" defaultRowHeight="15.75"/>
  <x:sheetData>
    <x:row r="1">
      <x:c r="A1" s="1" t="s">
        <x:v>2896</x:v>
      </x:c>
      <x:c r="B1" s="1" t="s">
        <x:v>2681</x:v>
      </x:c>
      <x:c r="C1" s="1" t="s">
        <x:v>135</x:v>
      </x:c>
      <x:c r="D1" s="1" t="s">
        <x:v>2897</x:v>
      </x:c>
      <x:c r="E1" s="1" t="s">
        <x:v>2898</x:v>
      </x:c>
      <x:c r="F1" s="1" t="s">
        <x:v>2888</x:v>
      </x:c>
      <x:c r="G1" s="1" t="s">
        <x:v>2886</x:v>
      </x:c>
      <x:c r="H1" s="1" t="s">
        <x:v>2889</x:v>
      </x:c>
      <x:c r="I1" s="1" t="s">
        <x:v>2885</x:v>
      </x:c>
      <x:c r="J1" s="1" t="s">
        <x:v>2899</x:v>
      </x:c>
      <x:c r="K1" s="1" t="s">
        <x:v>2828</x:v>
      </x:c>
      <x:c r="L1" s="1" t="s">
        <x:v>2900</x:v>
      </x:c>
      <x:c r="M1" s="1" t="s">
        <x:v>2901</x:v>
      </x:c>
      <x:c r="N1" s="1" t="s">
        <x:v>2902</x:v>
      </x:c>
      <x:c r="O1" s="1" t="s">
        <x:v>2903</x:v>
      </x:c>
      <x:c r="P1" s="1" t="s">
        <x:v>729</x:v>
      </x:c>
      <x:c r="Q1" s="1" t="s">
        <x:v>2878</x:v>
      </x:c>
      <x:c r="R1" s="1" t="s">
        <x:v>2879</x:v>
      </x:c>
      <x:c r="S1" s="1" t="s">
        <x:v>2774</x:v>
      </x:c>
      <x:c r="T1" s="1" t="s">
        <x:v>2775</x:v>
      </x:c>
      <x:c r="U1" s="1" t="s">
        <x:v>137</x:v>
      </x:c>
    </x:row>
    <x:row r="2">
      <x:c r="A2" s="1" t="s">
        <x:v>2904</x:v>
      </x:c>
      <x:c r="B2" s="1" t="s">
        <x:v>737</x:v>
      </x:c>
      <x:c r="C2" s="1" t="s">
        <x:v>2388</x:v>
      </x:c>
      <x:c r="D2" s="1" t="s">
        <x:v>2905</x:v>
      </x:c>
      <x:c r="E2" s="1" t="s">
        <x:v>2871</x:v>
      </x:c>
      <x:c r="G2" s="1" t="s">
        <x:v>2906</x:v>
      </x:c>
      <x:c r="H2" s="1" t="s">
        <x:v>2907</x:v>
      </x:c>
      <x:c r="I2" s="1" t="s">
        <x:v>2908</x:v>
      </x:c>
      <x:c r="K2" s="46" t="s">
        <x:v>2909</x:v>
      </x:c>
      <x:c r="L2" s="1" t="s">
        <x:v>656</x:v>
      </x:c>
      <x:c r="M2" s="1" t="s">
        <x:v>656</x:v>
      </x:c>
      <x:c r="N2" s="1" t="s">
        <x:v>656</x:v>
      </x:c>
      <x:c r="O2" s="1" t="s">
        <x:v>656</x:v>
      </x:c>
      <x:c r="P2" s="1" t="s">
        <x:v>2910</x:v>
      </x:c>
    </x:row>
  </x:sheetData>
  <x:hyperlinks>
    <x:hyperlink xmlns:r="http://schemas.openxmlformats.org/officeDocument/2006/relationships" ref="K2" r:id="R5fdd041a6f894594"/>
  </x:hyperlinks>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defaultRowHeight="15"/>
  <x:cols>
    <x:col min="1" max="1" width="38" hidden="0" customWidth="1"/>
    <x:col min="2" max="2" width="14" hidden="0" customWidth="1"/>
    <x:col min="3" max="3" width="25" hidden="0" customWidth="1"/>
    <x:col min="4" max="4" width="22" hidden="0" customWidth="1"/>
    <x:col min="5" max="5" width="16.5" hidden="0" customWidth="1"/>
    <x:col min="6" max="6" width="12.75" hidden="0" customWidth="1"/>
    <x:col min="7" max="7" width="12" hidden="0" customWidth="1"/>
    <x:col min="8" max="8" width="12" hidden="0" customWidth="1"/>
    <x:col min="9" max="9" width="12.380000114440918" hidden="0" customWidth="1"/>
    <x:col min="10" max="10" width="13.380000114440918" hidden="0" customWidth="1"/>
    <x:col min="11" max="11" width="12" hidden="0" customWidth="1"/>
    <x:col min="12" max="12" width="12.880000114440918" hidden="0" customWidth="1"/>
    <x:col min="13" max="13" width="12" hidden="0" customWidth="1"/>
    <x:col min="14" max="14" width="12" hidden="0" customWidth="1"/>
    <x:col min="15" max="15" width="12" hidden="0" customWidth="1"/>
  </x:cols>
  <x:sheetData>
    <x:row r="1" ht="32" customHeight="1">
      <x:c r="A1" s="58" t="str">
        <x:v>TypeID</x:v>
      </x:c>
      <x:c r="B1" s="58" t="str">
        <x:v>EntityKind</x:v>
      </x:c>
      <x:c r="C1" s="58" t="str">
        <x:v>TypeName</x:v>
      </x:c>
      <x:c r="D1" s="58" t="str">
        <x:v>DefaultCategoryID</x:v>
      </x:c>
      <x:c r="E1" s="58" t="str">
        <x:v>CanUseInBlueprints</x:v>
      </x:c>
      <x:c r="F1" s="58" t="str">
        <x:v>CanUseInPlans</x:v>
      </x:c>
      <x:c r="G1" s="58" t="str">
        <x:v>HasContent</x:v>
      </x:c>
      <x:c r="H1" s="58" t="str">
        <x:v>HasAssets</x:v>
      </x:c>
      <x:c r="I1" s="58" t="str">
        <x:v>IsShopProduct</x:v>
      </x:c>
      <x:c r="J1" s="58" t="str">
        <x:v>TracksInventory</x:v>
      </x:c>
      <x:c r="K1" s="58" t="str">
        <x:v>HasVariants</x:v>
      </x:c>
      <x:c r="L1" s="58" t="str">
        <x:v>UnlocksAccess</x:v>
      </x:c>
      <x:c r="M1" s="58" t="str">
        <x:v>IsPhysical</x:v>
      </x:c>
      <x:c r="N1" s="58" t="str">
        <x:v>HasDosage</x:v>
      </x:c>
      <x:c r="O1" s="58" t="str">
        <x:v>Status</x:v>
      </x:c>
    </x:row>
    <x:row r="2">
      <x:c r="A2" s="57" t="str">
        <x:v>TYPE-ASSET-IMAGE</x:v>
      </x:c>
      <x:c r="B2" s="57" t="str">
        <x:v>Asset</x:v>
      </x:c>
      <x:c r="C2" s="57" t="str">
        <x:v>image</x:v>
      </x:c>
      <x:c r="D2" s="57" t="str"/>
      <x:c r="E2" s="57" t="str">
        <x:v>Yes</x:v>
      </x:c>
      <x:c r="F2" s="57" t="str">
        <x:v>Yes</x:v>
      </x:c>
      <x:c r="G2" s="57" t="str">
        <x:v>No</x:v>
      </x:c>
      <x:c r="H2" s="57" t="str">
        <x:v>No</x:v>
      </x:c>
      <x:c r="I2" s="57" t="str">
        <x:v>No</x:v>
      </x:c>
      <x:c r="J2" s="57" t="str">
        <x:v>No</x:v>
      </x:c>
      <x:c r="K2" s="57" t="str">
        <x:v>No</x:v>
      </x:c>
      <x:c r="L2" s="57" t="str">
        <x:v>No</x:v>
      </x:c>
      <x:c r="M2" s="57" t="str">
        <x:v>No</x:v>
      </x:c>
      <x:c r="N2" s="57" t="str">
        <x:v>No</x:v>
      </x:c>
      <x:c r="O2" s="57" t="str">
        <x:v>Active</x:v>
      </x:c>
    </x:row>
    <x:row r="3">
      <x:c r="A3" s="57" t="str">
        <x:v>TYPE-ASSET-VIDEO</x:v>
      </x:c>
      <x:c r="B3" s="57" t="str">
        <x:v>Asset</x:v>
      </x:c>
      <x:c r="C3" s="57" t="str">
        <x:v>video</x:v>
      </x:c>
      <x:c r="D3" s="57" t="str"/>
      <x:c r="E3" s="57" t="str">
        <x:v>Yes</x:v>
      </x:c>
      <x:c r="F3" s="57" t="str">
        <x:v>Yes</x:v>
      </x:c>
      <x:c r="G3" s="57" t="str">
        <x:v>No</x:v>
      </x:c>
      <x:c r="H3" s="57" t="str">
        <x:v>No</x:v>
      </x:c>
      <x:c r="I3" s="57" t="str">
        <x:v>No</x:v>
      </x:c>
      <x:c r="J3" s="57" t="str">
        <x:v>No</x:v>
      </x:c>
      <x:c r="K3" s="57" t="str">
        <x:v>No</x:v>
      </x:c>
      <x:c r="L3" s="57" t="str">
        <x:v>No</x:v>
      </x:c>
      <x:c r="M3" s="57" t="str">
        <x:v>No</x:v>
      </x:c>
      <x:c r="N3" s="57" t="str">
        <x:v>No</x:v>
      </x:c>
      <x:c r="O3" s="57" t="str">
        <x:v>Active</x:v>
      </x:c>
    </x:row>
    <x:row r="4">
      <x:c r="A4" s="57" t="str">
        <x:v>TYPE-ASSET-DOCUMENT</x:v>
      </x:c>
      <x:c r="B4" s="57" t="str">
        <x:v>Asset</x:v>
      </x:c>
      <x:c r="C4" s="57" t="str">
        <x:v>document</x:v>
      </x:c>
      <x:c r="D4" s="57" t="str"/>
      <x:c r="E4" s="57" t="str">
        <x:v>Yes</x:v>
      </x:c>
      <x:c r="F4" s="57" t="str">
        <x:v>Yes</x:v>
      </x:c>
      <x:c r="G4" s="57" t="str">
        <x:v>No</x:v>
      </x:c>
      <x:c r="H4" s="57" t="str">
        <x:v>No</x:v>
      </x:c>
      <x:c r="I4" s="57" t="str">
        <x:v>No</x:v>
      </x:c>
      <x:c r="J4" s="57" t="str">
        <x:v>No</x:v>
      </x:c>
      <x:c r="K4" s="57" t="str">
        <x:v>No</x:v>
      </x:c>
      <x:c r="L4" s="57" t="str">
        <x:v>No</x:v>
      </x:c>
      <x:c r="M4" s="57" t="str">
        <x:v>No</x:v>
      </x:c>
      <x:c r="N4" s="57" t="str">
        <x:v>No</x:v>
      </x:c>
      <x:c r="O4" s="57" t="str">
        <x:v>Active</x:v>
      </x:c>
    </x:row>
    <x:row r="5">
      <x:c r="A5" s="57" t="str">
        <x:v>TYPE-ITEM-TOOL</x:v>
      </x:c>
      <x:c r="B5" s="57" t="str">
        <x:v>Item</x:v>
      </x:c>
      <x:c r="C5" s="57" t="str">
        <x:v>tool</x:v>
      </x:c>
      <x:c r="D5" s="57" t="str"/>
      <x:c r="E5" s="57" t="str">
        <x:v>Yes</x:v>
      </x:c>
      <x:c r="F5" s="57" t="str">
        <x:v>Yes</x:v>
      </x:c>
      <x:c r="G5" s="57" t="str">
        <x:v>No</x:v>
      </x:c>
      <x:c r="H5" s="57" t="str">
        <x:v>Yes</x:v>
      </x:c>
      <x:c r="I5" s="57" t="str">
        <x:v>Yes</x:v>
      </x:c>
      <x:c r="J5" s="57" t="str">
        <x:v>Yes</x:v>
      </x:c>
      <x:c r="K5" s="57" t="str">
        <x:v>Yes</x:v>
      </x:c>
      <x:c r="L5" s="57" t="str">
        <x:v>Yes</x:v>
      </x:c>
      <x:c r="M5" s="57" t="str">
        <x:v>Yes</x:v>
      </x:c>
      <x:c r="N5" s="57" t="str">
        <x:v>No</x:v>
      </x:c>
      <x:c r="O5" s="57" t="str">
        <x:v>Active</x:v>
      </x:c>
    </x:row>
    <x:row r="6">
      <x:c r="A6" s="57" t="str">
        <x:v>TYPE-ITEM-CLINICAL-SUPPLY</x:v>
      </x:c>
      <x:c r="B6" s="57" t="str">
        <x:v>Item</x:v>
      </x:c>
      <x:c r="C6" s="57" t="str">
        <x:v>clinical supply</x:v>
      </x:c>
      <x:c r="D6" s="57" t="str"/>
      <x:c r="E6" s="57" t="str">
        <x:v>Yes</x:v>
      </x:c>
      <x:c r="F6" s="57" t="str">
        <x:v>Yes</x:v>
      </x:c>
      <x:c r="G6" s="57" t="str">
        <x:v>No</x:v>
      </x:c>
      <x:c r="H6" s="57" t="str">
        <x:v>No</x:v>
      </x:c>
      <x:c r="I6" s="57" t="str">
        <x:v>No</x:v>
      </x:c>
      <x:c r="J6" s="57" t="str">
        <x:v>No</x:v>
      </x:c>
      <x:c r="K6" s="57" t="str">
        <x:v>Yes</x:v>
      </x:c>
      <x:c r="L6" s="57" t="str">
        <x:v>No</x:v>
      </x:c>
      <x:c r="M6" s="57" t="str">
        <x:v>Yes</x:v>
      </x:c>
      <x:c r="N6" s="57" t="str">
        <x:v>No</x:v>
      </x:c>
      <x:c r="O6" s="57" t="str">
        <x:v>Active</x:v>
      </x:c>
    </x:row>
    <x:row r="7">
      <x:c r="A7" s="57" t="str">
        <x:v>TYPE-ITEM-EXERCISE-EQUIPMENT</x:v>
      </x:c>
      <x:c r="B7" s="57" t="str">
        <x:v>Item</x:v>
      </x:c>
      <x:c r="C7" s="57" t="str">
        <x:v>exercise equipment</x:v>
      </x:c>
      <x:c r="D7" s="57" t="str"/>
      <x:c r="E7" s="57" t="str">
        <x:v>Yes</x:v>
      </x:c>
      <x:c r="F7" s="57" t="str">
        <x:v>Yes</x:v>
      </x:c>
      <x:c r="G7" s="57" t="str">
        <x:v>No</x:v>
      </x:c>
      <x:c r="H7" s="57" t="str">
        <x:v>No</x:v>
      </x:c>
      <x:c r="I7" s="57" t="str">
        <x:v>No</x:v>
      </x:c>
      <x:c r="J7" s="57" t="str">
        <x:v>No</x:v>
      </x:c>
      <x:c r="K7" s="57" t="str">
        <x:v>Yes</x:v>
      </x:c>
      <x:c r="L7" s="57" t="str">
        <x:v>No</x:v>
      </x:c>
      <x:c r="M7" s="57" t="str">
        <x:v>Yes</x:v>
      </x:c>
      <x:c r="N7" s="57" t="str">
        <x:v>No</x:v>
      </x:c>
      <x:c r="O7" s="57" t="str">
        <x:v>Active</x:v>
      </x:c>
    </x:row>
    <x:row r="8">
      <x:c r="A8" s="57" t="str">
        <x:v>TYPE-ITEM-COURSE</x:v>
      </x:c>
      <x:c r="B8" s="57" t="str">
        <x:v>Item</x:v>
      </x:c>
      <x:c r="C8" s="57" t="str">
        <x:v>course</x:v>
      </x:c>
      <x:c r="D8" s="57" t="str"/>
      <x:c r="E8" s="57" t="str">
        <x:v>Yes</x:v>
      </x:c>
      <x:c r="F8" s="57" t="str">
        <x:v>Yes</x:v>
      </x:c>
      <x:c r="G8" s="57" t="str">
        <x:v>No</x:v>
      </x:c>
      <x:c r="H8" s="57" t="str">
        <x:v>Yes</x:v>
      </x:c>
      <x:c r="I8" s="57" t="str">
        <x:v>Yes</x:v>
      </x:c>
      <x:c r="J8" s="57" t="str">
        <x:v>No</x:v>
      </x:c>
      <x:c r="K8" s="57" t="str">
        <x:v>No</x:v>
      </x:c>
      <x:c r="L8" s="57" t="str">
        <x:v>Yes</x:v>
      </x:c>
      <x:c r="M8" s="57" t="str">
        <x:v>No</x:v>
      </x:c>
      <x:c r="N8" s="57" t="str">
        <x:v>No</x:v>
      </x:c>
      <x:c r="O8" s="57" t="str">
        <x:v>Active</x:v>
      </x:c>
    </x:row>
    <x:row r="9">
      <x:c r="A9" s="57" t="str">
        <x:v>TYPE-ITEM-FAQ</x:v>
      </x:c>
      <x:c r="B9" s="57" t="str">
        <x:v>Item</x:v>
      </x:c>
      <x:c r="C9" s="57" t="str">
        <x:v>FAQ</x:v>
      </x:c>
      <x:c r="D9" s="57" t="str"/>
      <x:c r="E9" s="57" t="str">
        <x:v>Yes</x:v>
      </x:c>
      <x:c r="F9" s="57" t="str">
        <x:v>Yes</x:v>
      </x:c>
      <x:c r="G9" s="57" t="str">
        <x:v>No</x:v>
      </x:c>
      <x:c r="H9" s="57" t="str">
        <x:v>No</x:v>
      </x:c>
      <x:c r="I9" s="57" t="str">
        <x:v>No</x:v>
      </x:c>
      <x:c r="J9" s="57" t="str">
        <x:v>No</x:v>
      </x:c>
      <x:c r="K9" s="57" t="str">
        <x:v>No</x:v>
      </x:c>
      <x:c r="L9" s="57" t="str">
        <x:v>No</x:v>
      </x:c>
      <x:c r="M9" s="57" t="str">
        <x:v>No</x:v>
      </x:c>
      <x:c r="N9" s="57" t="str">
        <x:v>No</x:v>
      </x:c>
      <x:c r="O9" s="57" t="str">
        <x:v>Active</x:v>
      </x:c>
    </x:row>
    <x:row r="10">
      <x:c r="A10" s="57" t="str">
        <x:v>TYPE-ITEM-WORKSHOP</x:v>
      </x:c>
      <x:c r="B10" s="57" t="str">
        <x:v>Item</x:v>
      </x:c>
      <x:c r="C10" s="57" t="str">
        <x:v>workshop</x:v>
      </x:c>
      <x:c r="D10" s="57" t="str"/>
      <x:c r="E10" s="57" t="str">
        <x:v>Yes</x:v>
      </x:c>
      <x:c r="F10" s="57" t="str">
        <x:v>Yes</x:v>
      </x:c>
      <x:c r="G10" s="57" t="str">
        <x:v>No</x:v>
      </x:c>
      <x:c r="H10" s="57" t="str">
        <x:v>Yes</x:v>
      </x:c>
      <x:c r="I10" s="57" t="str">
        <x:v>Yes</x:v>
      </x:c>
      <x:c r="J10" s="57" t="str">
        <x:v>No</x:v>
      </x:c>
      <x:c r="K10" s="57" t="str">
        <x:v>Yes</x:v>
      </x:c>
      <x:c r="L10" s="57" t="str">
        <x:v>Yes</x:v>
      </x:c>
      <x:c r="M10" s="57" t="str">
        <x:v>No</x:v>
      </x:c>
      <x:c r="N10" s="57" t="str">
        <x:v>No</x:v>
      </x:c>
      <x:c r="O10" s="57" t="str">
        <x:v>Active</x:v>
      </x:c>
    </x:row>
    <x:row r="11">
      <x:c r="A11" s="57" t="str">
        <x:v>TYPE-ITEM-CONTENT</x:v>
      </x:c>
      <x:c r="B11" s="57" t="str">
        <x:v>Item</x:v>
      </x:c>
      <x:c r="C11" s="57" t="str">
        <x:v>content</x:v>
      </x:c>
      <x:c r="D11" s="57" t="str"/>
      <x:c r="E11" s="57" t="str">
        <x:v>Yes</x:v>
      </x:c>
      <x:c r="F11" s="57" t="str">
        <x:v>Yes</x:v>
      </x:c>
      <x:c r="G11" s="57" t="str">
        <x:v>No</x:v>
      </x:c>
      <x:c r="H11" s="57" t="str">
        <x:v>Yes</x:v>
      </x:c>
      <x:c r="I11" s="57" t="str">
        <x:v>No</x:v>
      </x:c>
      <x:c r="J11" s="57" t="str">
        <x:v>No</x:v>
      </x:c>
      <x:c r="K11" s="57" t="str">
        <x:v>Yes</x:v>
      </x:c>
      <x:c r="L11" s="57" t="str">
        <x:v>No</x:v>
      </x:c>
      <x:c r="M11" s="57" t="str">
        <x:v>No</x:v>
      </x:c>
      <x:c r="N11" s="57" t="str">
        <x:v>No</x:v>
      </x:c>
      <x:c r="O11" s="57" t="str">
        <x:v>Active</x:v>
      </x:c>
    </x:row>
    <x:row r="12">
      <x:c r="A12" s="57" t="str">
        <x:v>TYPE-ITEM-PART</x:v>
      </x:c>
      <x:c r="B12" s="57" t="str">
        <x:v>Item</x:v>
      </x:c>
      <x:c r="C12" s="57" t="str">
        <x:v>part</x:v>
      </x:c>
      <x:c r="D12" s="57" t="str"/>
      <x:c r="E12" s="57" t="str">
        <x:v>Yes</x:v>
      </x:c>
      <x:c r="F12" s="57" t="str">
        <x:v>Yes</x:v>
      </x:c>
      <x:c r="G12" s="57" t="str">
        <x:v>No</x:v>
      </x:c>
      <x:c r="H12" s="57" t="str">
        <x:v>No</x:v>
      </x:c>
      <x:c r="I12" s="57" t="str">
        <x:v>No</x:v>
      </x:c>
      <x:c r="J12" s="57" t="str">
        <x:v>Yes</x:v>
      </x:c>
      <x:c r="K12" s="57" t="str">
        <x:v>Yes</x:v>
      </x:c>
      <x:c r="L12" s="57" t="str">
        <x:v>No</x:v>
      </x:c>
      <x:c r="M12" s="57" t="str">
        <x:v>Yes</x:v>
      </x:c>
      <x:c r="N12" s="57" t="str">
        <x:v>No</x:v>
      </x:c>
      <x:c r="O12" s="57" t="str">
        <x:v>Active</x:v>
      </x:c>
    </x:row>
    <x:row r="13">
      <x:c r="A13" s="57" t="str">
        <x:v>TYPE-ITEM-PROGRAM</x:v>
      </x:c>
      <x:c r="B13" s="57" t="str">
        <x:v>Item</x:v>
      </x:c>
      <x:c r="C13" s="57" t="str">
        <x:v>program</x:v>
      </x:c>
      <x:c r="D13" s="57" t="str"/>
      <x:c r="E13" s="57" t="str">
        <x:v>Yes</x:v>
      </x:c>
      <x:c r="F13" s="57" t="str">
        <x:v>Yes</x:v>
      </x:c>
      <x:c r="G13" s="57" t="str">
        <x:v>No</x:v>
      </x:c>
      <x:c r="H13" s="57" t="str">
        <x:v>Yes</x:v>
      </x:c>
      <x:c r="I13" s="57" t="str">
        <x:v>Yes</x:v>
      </x:c>
      <x:c r="J13" s="57" t="str">
        <x:v>No</x:v>
      </x:c>
      <x:c r="K13" s="57" t="str">
        <x:v>Yes</x:v>
      </x:c>
      <x:c r="L13" s="57" t="str">
        <x:v>Yes</x:v>
      </x:c>
      <x:c r="M13" s="57" t="str">
        <x:v>No</x:v>
      </x:c>
      <x:c r="N13" s="57" t="str">
        <x:v>No</x:v>
      </x:c>
      <x:c r="O13" s="57" t="str">
        <x:v>Active</x:v>
      </x:c>
    </x:row>
    <x:row r="14">
      <x:c r="A14" s="57" t="str">
        <x:v>TYPE-ITEM-ANATO-ME</x:v>
      </x:c>
      <x:c r="B14" s="57" t="str">
        <x:v>Item</x:v>
      </x:c>
      <x:c r="C14" s="57" t="str">
        <x:v>anato-me</x:v>
      </x:c>
      <x:c r="D14" s="57" t="str"/>
      <x:c r="E14" s="57" t="str">
        <x:v>Yes</x:v>
      </x:c>
      <x:c r="F14" s="57" t="str">
        <x:v>Yes</x:v>
      </x:c>
      <x:c r="G14" s="57" t="str">
        <x:v>No</x:v>
      </x:c>
      <x:c r="H14" s="57" t="str">
        <x:v>Yes</x:v>
      </x:c>
      <x:c r="I14" s="57" t="str">
        <x:v>No</x:v>
      </x:c>
      <x:c r="J14" s="57" t="str">
        <x:v>No</x:v>
      </x:c>
      <x:c r="K14" s="57" t="str">
        <x:v>Yes</x:v>
      </x:c>
      <x:c r="L14" s="57" t="str">
        <x:v>No</x:v>
      </x:c>
      <x:c r="M14" s="57" t="str">
        <x:v>No</x:v>
      </x:c>
      <x:c r="N14" s="57" t="str">
        <x:v>No</x:v>
      </x:c>
      <x:c r="O14" s="57" t="str">
        <x:v>Active</x:v>
      </x:c>
    </x:row>
    <x:row r="15">
      <x:c r="A15" s="57" t="str">
        <x:v>TYPE-ITEM-POLICY</x:v>
      </x:c>
      <x:c r="B15" s="57" t="str">
        <x:v>Item</x:v>
      </x:c>
      <x:c r="C15" s="57" t="str">
        <x:v>policy</x:v>
      </x:c>
      <x:c r="D15" s="57" t="str"/>
      <x:c r="E15" s="57" t="str">
        <x:v>Yes</x:v>
      </x:c>
      <x:c r="F15" s="57" t="str">
        <x:v>Yes</x:v>
      </x:c>
      <x:c r="G15" s="57" t="str">
        <x:v>No</x:v>
      </x:c>
      <x:c r="H15" s="57" t="str">
        <x:v>Yes</x:v>
      </x:c>
      <x:c r="I15" s="57" t="str">
        <x:v>No</x:v>
      </x:c>
      <x:c r="J15" s="57" t="str">
        <x:v>No</x:v>
      </x:c>
      <x:c r="K15" s="57" t="str">
        <x:v>No</x:v>
      </x:c>
      <x:c r="L15" s="57" t="str">
        <x:v>No</x:v>
      </x:c>
      <x:c r="M15" s="57" t="str">
        <x:v>No</x:v>
      </x:c>
      <x:c r="N15" s="57" t="str">
        <x:v>No</x:v>
      </x:c>
      <x:c r="O15" s="57" t="str">
        <x:v>Active</x:v>
      </x:c>
    </x:row>
    <x:row r="16">
      <x:c r="A16" s="57" t="str">
        <x:v>TYPE-ITEM-EVENT</x:v>
      </x:c>
      <x:c r="B16" s="57" t="str">
        <x:v>Item</x:v>
      </x:c>
      <x:c r="C16" s="57" t="str">
        <x:v>event</x:v>
      </x:c>
      <x:c r="D16" s="57" t="str"/>
      <x:c r="E16" s="57" t="str">
        <x:v>Yes</x:v>
      </x:c>
      <x:c r="F16" s="57" t="str">
        <x:v>Yes</x:v>
      </x:c>
      <x:c r="G16" s="57" t="str">
        <x:v>No</x:v>
      </x:c>
      <x:c r="H16" s="57" t="str">
        <x:v>Yes</x:v>
      </x:c>
      <x:c r="I16" s="57" t="str">
        <x:v>Yes</x:v>
      </x:c>
      <x:c r="J16" s="57" t="str">
        <x:v>No</x:v>
      </x:c>
      <x:c r="K16" s="57" t="str">
        <x:v>Yes</x:v>
      </x:c>
      <x:c r="L16" s="57" t="str">
        <x:v>No</x:v>
      </x:c>
      <x:c r="M16" s="57" t="str">
        <x:v>No</x:v>
      </x:c>
      <x:c r="N16" s="57" t="str">
        <x:v>No</x:v>
      </x:c>
      <x:c r="O16" s="57" t="str">
        <x:v>Active</x:v>
      </x:c>
    </x:row>
    <x:row r="17">
      <x:c r="A17" s="57" t="str">
        <x:v>TYPE-ITEM-OUTCOME-MEASURE</x:v>
      </x:c>
      <x:c r="B17" s="57" t="str">
        <x:v>Item</x:v>
      </x:c>
      <x:c r="C17" s="57" t="str">
        <x:v>outcome measure</x:v>
      </x:c>
      <x:c r="D17" s="57" t="str"/>
      <x:c r="E17" s="57" t="str">
        <x:v>Yes</x:v>
      </x:c>
      <x:c r="F17" s="57" t="str">
        <x:v>Yes</x:v>
      </x:c>
      <x:c r="G17" s="57" t="str">
        <x:v>No</x:v>
      </x:c>
      <x:c r="H17" s="57" t="str">
        <x:v>Yes</x:v>
      </x:c>
      <x:c r="I17" s="57" t="str">
        <x:v>No</x:v>
      </x:c>
      <x:c r="J17" s="57" t="str">
        <x:v>No</x:v>
      </x:c>
      <x:c r="K17" s="57" t="str">
        <x:v>No</x:v>
      </x:c>
      <x:c r="L17" s="57" t="str">
        <x:v>No</x:v>
      </x:c>
      <x:c r="M17" s="57" t="str">
        <x:v>No</x:v>
      </x:c>
      <x:c r="N17" s="57" t="str">
        <x:v>No</x:v>
      </x:c>
      <x:c r="O17" s="57" t="str">
        <x:v>Active</x:v>
      </x:c>
    </x:row>
    <x:row r="18">
      <x:c r="A18" s="57" t="str">
        <x:v>TYPE-BLUEPRINT-RECOVERY-ACTIVITY</x:v>
      </x:c>
      <x:c r="B18" s="57" t="str">
        <x:v>Blueprint</x:v>
      </x:c>
      <x:c r="C18" s="57" t="str">
        <x:v>recovery activity</x:v>
      </x:c>
      <x:c r="D18" s="57" t="str">
        <x:v>CAT-ART</x:v>
      </x:c>
      <x:c r="E18" s="57" t="str">
        <x:v>No</x:v>
      </x:c>
      <x:c r="F18" s="57" t="str">
        <x:v>Yes</x:v>
      </x:c>
      <x:c r="G18" s="57" t="str">
        <x:v>Yes</x:v>
      </x:c>
      <x:c r="H18" s="57" t="str">
        <x:v>No</x:v>
      </x:c>
      <x:c r="I18" s="57" t="str">
        <x:v>No</x:v>
      </x:c>
      <x:c r="J18" s="57" t="str">
        <x:v>No</x:v>
      </x:c>
      <x:c r="K18" s="57" t="str">
        <x:v>No</x:v>
      </x:c>
      <x:c r="L18" s="57" t="str">
        <x:v>No</x:v>
      </x:c>
      <x:c r="M18" s="57" t="str">
        <x:v>No</x:v>
      </x:c>
      <x:c r="N18" s="57" t="str">
        <x:v>No</x:v>
      </x:c>
      <x:c r="O18" s="57" t="str">
        <x:v>Active</x:v>
      </x:c>
    </x:row>
    <x:row r="19">
      <x:c r="A19" s="57" t="str">
        <x:v>TYPE-BLUEPRINT-CLINICAL-TEST</x:v>
      </x:c>
      <x:c r="B19" s="57" t="str">
        <x:v>Blueprint</x:v>
      </x:c>
      <x:c r="C19" s="57" t="str">
        <x:v>clinical test</x:v>
      </x:c>
      <x:c r="D19" s="57" t="str">
        <x:v>CAT-TEST</x:v>
      </x:c>
      <x:c r="E19" s="57" t="str">
        <x:v>No</x:v>
      </x:c>
      <x:c r="F19" s="57" t="str">
        <x:v>Yes</x:v>
      </x:c>
      <x:c r="G19" s="57" t="str">
        <x:v>Yes</x:v>
      </x:c>
      <x:c r="H19" s="57" t="str">
        <x:v>No</x:v>
      </x:c>
      <x:c r="I19" s="57" t="str">
        <x:v>No</x:v>
      </x:c>
      <x:c r="J19" s="57" t="str">
        <x:v>No</x:v>
      </x:c>
      <x:c r="K19" s="57" t="str">
        <x:v>No</x:v>
      </x:c>
      <x:c r="L19" s="57" t="str">
        <x:v>No</x:v>
      </x:c>
      <x:c r="M19" s="57" t="str">
        <x:v>No</x:v>
      </x:c>
      <x:c r="N19" s="57" t="str">
        <x:v>No</x:v>
      </x:c>
      <x:c r="O19" s="57" t="str">
        <x:v>Active</x:v>
      </x:c>
    </x:row>
    <x:row r="20">
      <x:c r="A20" s="57" t="str">
        <x:v>TYPE-BLUEPRINT-TREATMENT-TECHNIQUE</x:v>
      </x:c>
      <x:c r="B20" s="57" t="str">
        <x:v>Blueprint</x:v>
      </x:c>
      <x:c r="C20" s="57" t="str">
        <x:v>treatment technique</x:v>
      </x:c>
      <x:c r="D20" s="57" t="str">
        <x:v>CAT-TREAT</x:v>
      </x:c>
      <x:c r="E20" s="57" t="str">
        <x:v>No</x:v>
      </x:c>
      <x:c r="F20" s="57" t="str">
        <x:v>Yes</x:v>
      </x:c>
      <x:c r="G20" s="57" t="str">
        <x:v>Yes</x:v>
      </x:c>
      <x:c r="H20" s="57" t="str">
        <x:v>No</x:v>
      </x:c>
      <x:c r="I20" s="57" t="str">
        <x:v>No</x:v>
      </x:c>
      <x:c r="J20" s="57" t="str">
        <x:v>No</x:v>
      </x:c>
      <x:c r="K20" s="57" t="str">
        <x:v>No</x:v>
      </x:c>
      <x:c r="L20" s="57" t="str">
        <x:v>No</x:v>
      </x:c>
      <x:c r="M20" s="57" t="str">
        <x:v>No</x:v>
      </x:c>
      <x:c r="N20" s="57" t="str">
        <x:v>Yes</x:v>
      </x:c>
      <x:c r="O20" s="57" t="str">
        <x:v>Active</x:v>
      </x:c>
    </x:row>
    <x:row r="21">
      <x:c r="A21" s="57" t="str">
        <x:v>TYPE-BLUEPRINT-CLIENT-EDUCATION</x:v>
      </x:c>
      <x:c r="B21" s="57" t="str">
        <x:v>Blueprint</x:v>
      </x:c>
      <x:c r="C21" s="57" t="str">
        <x:v>client education</x:v>
      </x:c>
      <x:c r="D21" s="57" t="str">
        <x:v>CAT-CLEDU</x:v>
      </x:c>
      <x:c r="E21" s="57" t="str">
        <x:v>No</x:v>
      </x:c>
      <x:c r="F21" s="57" t="str">
        <x:v>Yes</x:v>
      </x:c>
      <x:c r="G21" s="57" t="str">
        <x:v>Yes</x:v>
      </x:c>
      <x:c r="H21" s="57" t="str">
        <x:v>No</x:v>
      </x:c>
      <x:c r="I21" s="57" t="str">
        <x:v>No</x:v>
      </x:c>
      <x:c r="J21" s="57" t="str">
        <x:v>No</x:v>
      </x:c>
      <x:c r="K21" s="57" t="str">
        <x:v>No</x:v>
      </x:c>
      <x:c r="L21" s="57" t="str">
        <x:v>No</x:v>
      </x:c>
      <x:c r="M21" s="57" t="str">
        <x:v>No</x:v>
      </x:c>
      <x:c r="N21" s="57" t="str">
        <x:v>No</x:v>
      </x:c>
      <x:c r="O21" s="57" t="str">
        <x:v>Active</x:v>
      </x:c>
    </x:row>
    <x:row r="22">
      <x:c r="A22" s="57" t="str">
        <x:v>TYPE-BLUEPRINT-ANATO-ME-STORY</x:v>
      </x:c>
      <x:c r="B22" s="57" t="str">
        <x:v>Blueprint</x:v>
      </x:c>
      <x:c r="C22" s="57" t="str">
        <x:v>anato-me story</x:v>
      </x:c>
      <x:c r="D22" s="57" t="str"/>
      <x:c r="E22" s="57" t="str">
        <x:v>No</x:v>
      </x:c>
      <x:c r="F22" s="57" t="str">
        <x:v>Yes</x:v>
      </x:c>
      <x:c r="G22" s="57" t="str">
        <x:v>Yes</x:v>
      </x:c>
      <x:c r="H22" s="57" t="str">
        <x:v>No</x:v>
      </x:c>
      <x:c r="I22" s="57" t="str">
        <x:v>No</x:v>
      </x:c>
      <x:c r="J22" s="57" t="str">
        <x:v>No</x:v>
      </x:c>
      <x:c r="K22" s="57" t="str">
        <x:v>No</x:v>
      </x:c>
      <x:c r="L22" s="57" t="str">
        <x:v>No</x:v>
      </x:c>
      <x:c r="M22" s="57" t="str">
        <x:v>No</x:v>
      </x:c>
      <x:c r="N22" s="57" t="str">
        <x:v>No</x:v>
      </x:c>
      <x:c r="O22" s="57" t="str">
        <x:v>Active</x:v>
      </x:c>
    </x:row>
    <x:row r="23">
      <x:c r="A23" s="57" t="str">
        <x:v>TYPE-BLUEPRINT-QUIZ</x:v>
      </x:c>
      <x:c r="B23" s="57" t="str">
        <x:v>Blueprint</x:v>
      </x:c>
      <x:c r="C23" s="57" t="str">
        <x:v>quiz</x:v>
      </x:c>
      <x:c r="D23" s="57" t="str"/>
      <x:c r="E23" s="57" t="str">
        <x:v>No</x:v>
      </x:c>
      <x:c r="F23" s="57" t="str">
        <x:v>Yes</x:v>
      </x:c>
      <x:c r="G23" s="57" t="str">
        <x:v>Yes</x:v>
      </x:c>
      <x:c r="H23" s="57" t="str">
        <x:v>No</x:v>
      </x:c>
      <x:c r="I23" s="57" t="str">
        <x:v>No</x:v>
      </x:c>
      <x:c r="J23" s="57" t="str">
        <x:v>No</x:v>
      </x:c>
      <x:c r="K23" s="57" t="str">
        <x:v>No</x:v>
      </x:c>
      <x:c r="L23" s="57" t="str">
        <x:v>No</x:v>
      </x:c>
      <x:c r="M23" s="57" t="str">
        <x:v>No</x:v>
      </x:c>
      <x:c r="N23" s="57" t="str">
        <x:v>No</x:v>
      </x:c>
      <x:c r="O23" s="57" t="str">
        <x:v>Active</x:v>
      </x:c>
    </x:row>
    <x:row r="24">
      <x:c r="A24" s="57" t="str">
        <x:v>TYPE-BLUEPRINT-THERAPIST-EDUCATION</x:v>
      </x:c>
      <x:c r="B24" s="57" t="str">
        <x:v>Blueprint</x:v>
      </x:c>
      <x:c r="C24" s="57" t="str">
        <x:v>therapist education</x:v>
      </x:c>
      <x:c r="D24" s="57" t="str">
        <x:v>CAT-THEREDU</x:v>
      </x:c>
      <x:c r="E24" s="57" t="str">
        <x:v>No</x:v>
      </x:c>
      <x:c r="F24" s="57" t="str">
        <x:v>Yes</x:v>
      </x:c>
      <x:c r="G24" s="57" t="str">
        <x:v>Yes</x:v>
      </x:c>
      <x:c r="H24" s="57" t="str">
        <x:v>No</x:v>
      </x:c>
      <x:c r="I24" s="57" t="str">
        <x:v>No</x:v>
      </x:c>
      <x:c r="J24" s="57" t="str">
        <x:v>No</x:v>
      </x:c>
      <x:c r="K24" s="57" t="str">
        <x:v>No</x:v>
      </x:c>
      <x:c r="L24" s="57" t="str">
        <x:v>No</x:v>
      </x:c>
      <x:c r="M24" s="57" t="str">
        <x:v>No</x:v>
      </x:c>
      <x:c r="N24" s="57" t="str">
        <x:v>No</x:v>
      </x:c>
      <x:c r="O24" s="57" t="str">
        <x:v>Active</x:v>
      </x:c>
    </x:row>
    <x:row r="25">
      <x:c r="A25" s="57" t="str">
        <x:v>TYPE-BLUEPRINT-BUSINESS-WORKFLOW</x:v>
      </x:c>
      <x:c r="B25" s="57" t="str">
        <x:v>Blueprint</x:v>
      </x:c>
      <x:c r="C25" s="57" t="str">
        <x:v>business workflow</x:v>
      </x:c>
      <x:c r="D25" s="57" t="str">
        <x:v>CAT-BUS-CONT</x:v>
      </x:c>
      <x:c r="E25" s="57" t="str">
        <x:v>No</x:v>
      </x:c>
      <x:c r="F25" s="57" t="str">
        <x:v>Yes</x:v>
      </x:c>
      <x:c r="G25" s="57" t="str">
        <x:v>Yes</x:v>
      </x:c>
      <x:c r="H25" s="57" t="str">
        <x:v>No</x:v>
      </x:c>
      <x:c r="I25" s="57" t="str">
        <x:v>No</x:v>
      </x:c>
      <x:c r="J25" s="57" t="str">
        <x:v>No</x:v>
      </x:c>
      <x:c r="K25" s="57" t="str">
        <x:v>No</x:v>
      </x:c>
      <x:c r="L25" s="57" t="str">
        <x:v>No</x:v>
      </x:c>
      <x:c r="M25" s="57" t="str">
        <x:v>No</x:v>
      </x:c>
      <x:c r="N25" s="57" t="str">
        <x:v>No</x:v>
      </x:c>
      <x:c r="O25" s="57" t="str">
        <x:v>Active</x:v>
      </x:c>
    </x:row>
    <x:row r="26">
      <x:c r="A26" s="57" t="str">
        <x:v>TYPE-BLUEPRINT-MARKETING-CONTENT</x:v>
      </x:c>
      <x:c r="B26" s="57" t="str">
        <x:v>Blueprint</x:v>
      </x:c>
      <x:c r="C26" s="57" t="str">
        <x:v>marketing content</x:v>
      </x:c>
      <x:c r="D26" s="57" t="str">
        <x:v>CAT-BUS-CONT</x:v>
      </x:c>
      <x:c r="E26" s="57" t="str">
        <x:v>No</x:v>
      </x:c>
      <x:c r="F26" s="57" t="str">
        <x:v>Yes</x:v>
      </x:c>
      <x:c r="G26" s="57" t="str">
        <x:v>Yes</x:v>
      </x:c>
      <x:c r="H26" s="57" t="str">
        <x:v>No</x:v>
      </x:c>
      <x:c r="I26" s="57" t="str">
        <x:v>No</x:v>
      </x:c>
      <x:c r="J26" s="57" t="str">
        <x:v>No</x:v>
      </x:c>
      <x:c r="K26" s="57" t="str">
        <x:v>No</x:v>
      </x:c>
      <x:c r="L26" s="57" t="str">
        <x:v>No</x:v>
      </x:c>
      <x:c r="M26" s="57" t="str">
        <x:v>No</x:v>
      </x:c>
      <x:c r="N26" s="57" t="str">
        <x:v>No</x:v>
      </x:c>
      <x:c r="O26" s="57" t="str">
        <x:v>Active</x:v>
      </x:c>
    </x:row>
    <x:row r="27">
      <x:c r="A27" s="57" t="str">
        <x:v>TYPE-BLUEPRINT-PRODUCT-MANUFACTURE</x:v>
      </x:c>
      <x:c r="B27" s="57" t="str">
        <x:v>Blueprint</x:v>
      </x:c>
      <x:c r="C27" s="57" t="str">
        <x:v>product manufacture</x:v>
      </x:c>
      <x:c r="D27" s="57" t="str">
        <x:v>CAT-BUS-CONT</x:v>
      </x:c>
      <x:c r="E27" s="57" t="str">
        <x:v>No</x:v>
      </x:c>
      <x:c r="F27" s="57" t="str">
        <x:v>Yes</x:v>
      </x:c>
      <x:c r="G27" s="57" t="str">
        <x:v>Yes</x:v>
      </x:c>
      <x:c r="H27" s="57" t="str">
        <x:v>No</x:v>
      </x:c>
      <x:c r="I27" s="57" t="str">
        <x:v>No</x:v>
      </x:c>
      <x:c r="J27" s="57" t="str">
        <x:v>No</x:v>
      </x:c>
      <x:c r="K27" s="57" t="str">
        <x:v>No</x:v>
      </x:c>
      <x:c r="L27" s="57" t="str">
        <x:v>No</x:v>
      </x:c>
      <x:c r="M27" s="57" t="str">
        <x:v>No</x:v>
      </x:c>
      <x:c r="N27" s="57" t="str">
        <x:v>No</x:v>
      </x:c>
      <x:c r="O27" s="57" t="str">
        <x:v>Active</x:v>
      </x:c>
    </x:row>
    <x:row r="28">
      <x:c r="A28" s="57" t="str">
        <x:v>TYPE-PLAN-COURSE</x:v>
      </x:c>
      <x:c r="B28" s="57" t="str">
        <x:v>Plan</x:v>
      </x:c>
      <x:c r="C28" s="57" t="str">
        <x:v>course</x:v>
      </x:c>
      <x:c r="D28" s="57" t="str"/>
      <x:c r="E28" s="57" t="str">
        <x:v>No</x:v>
      </x:c>
      <x:c r="F28" s="57" t="str">
        <x:v>Yes</x:v>
      </x:c>
      <x:c r="G28" s="57" t="str">
        <x:v>No</x:v>
      </x:c>
      <x:c r="H28" s="57" t="str">
        <x:v>Yes</x:v>
      </x:c>
      <x:c r="I28" s="57" t="str">
        <x:v>Yes</x:v>
      </x:c>
      <x:c r="J28" s="57" t="str">
        <x:v>No</x:v>
      </x:c>
      <x:c r="K28" s="57" t="str">
        <x:v>No</x:v>
      </x:c>
      <x:c r="L28" s="57" t="str">
        <x:v>Yes</x:v>
      </x:c>
      <x:c r="M28" s="57" t="str">
        <x:v>No</x:v>
      </x:c>
      <x:c r="N28" s="57" t="str">
        <x:v>No</x:v>
      </x:c>
      <x:c r="O28" s="57" t="str">
        <x:v>Active</x:v>
      </x:c>
    </x:row>
    <x:row r="29">
      <x:c r="A29" s="57" t="str">
        <x:v>TYPE-PLAN-WORKSHOP</x:v>
      </x:c>
      <x:c r="B29" s="57" t="str">
        <x:v>Plan</x:v>
      </x:c>
      <x:c r="C29" s="57" t="str">
        <x:v>workshop</x:v>
      </x:c>
      <x:c r="D29" s="57" t="str"/>
      <x:c r="E29" s="57" t="str">
        <x:v>No</x:v>
      </x:c>
      <x:c r="F29" s="57" t="str">
        <x:v>Yes</x:v>
      </x:c>
      <x:c r="G29" s="57" t="str">
        <x:v>No</x:v>
      </x:c>
      <x:c r="H29" s="57" t="str">
        <x:v>Yes</x:v>
      </x:c>
      <x:c r="I29" s="57" t="str">
        <x:v>Yes</x:v>
      </x:c>
      <x:c r="J29" s="57" t="str">
        <x:v>No</x:v>
      </x:c>
      <x:c r="K29" s="57" t="str">
        <x:v>Yes</x:v>
      </x:c>
      <x:c r="L29" s="57" t="str">
        <x:v>Yes</x:v>
      </x:c>
      <x:c r="M29" s="57" t="str">
        <x:v>No</x:v>
      </x:c>
      <x:c r="N29" s="57" t="str">
        <x:v>No</x:v>
      </x:c>
      <x:c r="O29" s="57" t="str">
        <x:v>Active</x:v>
      </x:c>
    </x:row>
    <x:row r="30">
      <x:c r="A30" s="57" t="str">
        <x:v>TYPE-PLAN-TREATMENT-PLAN</x:v>
      </x:c>
      <x:c r="B30" s="57" t="str">
        <x:v>Plan</x:v>
      </x:c>
      <x:c r="C30" s="57" t="str">
        <x:v>treatment plan</x:v>
      </x:c>
      <x:c r="D30" s="57" t="str"/>
      <x:c r="E30" s="57" t="str">
        <x:v>No</x:v>
      </x:c>
      <x:c r="F30" s="57" t="str">
        <x:v>Yes</x:v>
      </x:c>
      <x:c r="G30" s="57" t="str">
        <x:v>No</x:v>
      </x:c>
      <x:c r="H30" s="57" t="str">
        <x:v>No</x:v>
      </x:c>
      <x:c r="I30" s="57" t="str">
        <x:v>No</x:v>
      </x:c>
      <x:c r="J30" s="57" t="str">
        <x:v>No</x:v>
      </x:c>
      <x:c r="K30" s="57" t="str">
        <x:v>No</x:v>
      </x:c>
      <x:c r="L30" s="57" t="str">
        <x:v>No</x:v>
      </x:c>
      <x:c r="M30" s="57" t="str">
        <x:v>No</x:v>
      </x:c>
      <x:c r="N30" s="57" t="str">
        <x:v>Yes</x:v>
      </x:c>
      <x:c r="O30" s="57" t="str">
        <x:v>Active</x:v>
      </x:c>
    </x:row>
    <x:row r="31">
      <x:c r="A31" s="57" t="str">
        <x:v>TYPE-PLAN-ASSESSMENT</x:v>
      </x:c>
      <x:c r="B31" s="57" t="str">
        <x:v>Plan</x:v>
      </x:c>
      <x:c r="C31" s="57" t="str">
        <x:v>assessment</x:v>
      </x:c>
      <x:c r="D31" s="57" t="str"/>
      <x:c r="E31" s="57" t="str">
        <x:v>No</x:v>
      </x:c>
      <x:c r="F31" s="57" t="str">
        <x:v>Yes</x:v>
      </x:c>
      <x:c r="G31" s="57" t="str">
        <x:v>No</x:v>
      </x:c>
      <x:c r="H31" s="57" t="str">
        <x:v>No</x:v>
      </x:c>
      <x:c r="I31" s="57" t="str">
        <x:v>No</x:v>
      </x:c>
      <x:c r="J31" s="57" t="str">
        <x:v>No</x:v>
      </x:c>
      <x:c r="K31" s="57" t="str">
        <x:v>No</x:v>
      </x:c>
      <x:c r="L31" s="57" t="str">
        <x:v>No</x:v>
      </x:c>
      <x:c r="M31" s="57" t="str">
        <x:v>No</x:v>
      </x:c>
      <x:c r="N31" s="57" t="str">
        <x:v>No</x:v>
      </x:c>
      <x:c r="O31" s="57" t="str">
        <x:v>Active</x:v>
      </x:c>
    </x:row>
    <x:row r="32">
      <x:c r="A32" s="57" t="str">
        <x:v>TYPE-PLAN-REASSESSMENT</x:v>
      </x:c>
      <x:c r="B32" s="57" t="str">
        <x:v>Plan</x:v>
      </x:c>
      <x:c r="C32" s="57" t="str">
        <x:v>reassessment</x:v>
      </x:c>
      <x:c r="D32" s="57" t="str"/>
      <x:c r="E32" s="57" t="str">
        <x:v>No</x:v>
      </x:c>
      <x:c r="F32" s="57" t="str">
        <x:v>Yes</x:v>
      </x:c>
      <x:c r="G32" s="57" t="str">
        <x:v>No</x:v>
      </x:c>
      <x:c r="H32" s="57" t="str">
        <x:v>No</x:v>
      </x:c>
      <x:c r="I32" s="57" t="str">
        <x:v>No</x:v>
      </x:c>
      <x:c r="J32" s="57" t="str">
        <x:v>No</x:v>
      </x:c>
      <x:c r="K32" s="57" t="str">
        <x:v>No</x:v>
      </x:c>
      <x:c r="L32" s="57" t="str">
        <x:v>No</x:v>
      </x:c>
      <x:c r="M32" s="57" t="str">
        <x:v>No</x:v>
      </x:c>
      <x:c r="N32" s="57" t="str">
        <x:v>No</x:v>
      </x:c>
      <x:c r="O32" s="57" t="str">
        <x:v>Active</x:v>
      </x:c>
    </x:row>
    <x:row r="33">
      <x:c r="A33" s="57" t="str">
        <x:v>TYPE-PLAN-BUSINESS-MANUAL</x:v>
      </x:c>
      <x:c r="B33" s="57" t="str">
        <x:v>Plan</x:v>
      </x:c>
      <x:c r="C33" s="57" t="str">
        <x:v>business manual</x:v>
      </x:c>
      <x:c r="D33" s="57" t="str"/>
      <x:c r="E33" s="57" t="str">
        <x:v>No</x:v>
      </x:c>
      <x:c r="F33" s="57" t="str">
        <x:v>Yes</x:v>
      </x:c>
      <x:c r="G33" s="57" t="str">
        <x:v>No</x:v>
      </x:c>
      <x:c r="H33" s="57" t="str">
        <x:v>No</x:v>
      </x:c>
      <x:c r="I33" s="57" t="str">
        <x:v>No</x:v>
      </x:c>
      <x:c r="J33" s="57" t="str">
        <x:v>No</x:v>
      </x:c>
      <x:c r="K33" s="57" t="str">
        <x:v>No</x:v>
      </x:c>
      <x:c r="L33" s="57" t="str">
        <x:v>No</x:v>
      </x:c>
      <x:c r="M33" s="57" t="str">
        <x:v>No</x:v>
      </x:c>
      <x:c r="N33" s="57" t="str">
        <x:v>No</x:v>
      </x:c>
      <x:c r="O33" s="57" t="str">
        <x:v>Active</x:v>
      </x:c>
    </x:row>
    <x:row r="34">
      <x:c r="A34" s="57" t="str">
        <x:v>TYPE-PLAN-RECOVERY-PLAN</x:v>
      </x:c>
      <x:c r="B34" s="57" t="str">
        <x:v>Plan</x:v>
      </x:c>
      <x:c r="C34" s="57" t="str">
        <x:v>recovery plan</x:v>
      </x:c>
      <x:c r="D34" s="57" t="str"/>
      <x:c r="E34" s="57" t="str">
        <x:v>No</x:v>
      </x:c>
      <x:c r="F34" s="57" t="str">
        <x:v>Yes</x:v>
      </x:c>
      <x:c r="G34" s="57" t="str">
        <x:v>No</x:v>
      </x:c>
      <x:c r="H34" s="57" t="str">
        <x:v>No</x:v>
      </x:c>
      <x:c r="I34" s="57" t="str">
        <x:v>No</x:v>
      </x:c>
      <x:c r="J34" s="57" t="str">
        <x:v>No</x:v>
      </x:c>
      <x:c r="K34" s="57" t="str">
        <x:v>No</x:v>
      </x:c>
      <x:c r="L34" s="57" t="str">
        <x:v>No</x:v>
      </x:c>
      <x:c r="M34" s="57" t="str">
        <x:v>No</x:v>
      </x:c>
      <x:c r="N34" s="57" t="str">
        <x:v>Yes</x:v>
      </x:c>
      <x:c r="O34" s="57" t="str">
        <x:v>Active</x:v>
      </x:c>
    </x:row>
    <x:row r="35">
      <x:c r="A35" s="57" t="str">
        <x:v>TYPE-PLAN-MARKETING-CAMPAIGN-PLAN</x:v>
      </x:c>
      <x:c r="B35" s="57" t="str">
        <x:v>Plan</x:v>
      </x:c>
      <x:c r="C35" s="57" t="str">
        <x:v>marketing campaign plan</x:v>
      </x:c>
      <x:c r="D35" s="57" t="str"/>
      <x:c r="E35" s="57" t="str">
        <x:v>No</x:v>
      </x:c>
      <x:c r="F35" s="57" t="str">
        <x:v>No</x:v>
      </x:c>
      <x:c r="G35" s="57" t="str">
        <x:v>No</x:v>
      </x:c>
      <x:c r="H35" s="57" t="str">
        <x:v>No</x:v>
      </x:c>
      <x:c r="I35" s="57" t="str">
        <x:v>No</x:v>
      </x:c>
      <x:c r="J35" s="57" t="str">
        <x:v>No</x:v>
      </x:c>
      <x:c r="K35" s="57" t="str">
        <x:v>No</x:v>
      </x:c>
      <x:c r="L35" s="57" t="str">
        <x:v>No</x:v>
      </x:c>
      <x:c r="M35" s="57" t="str">
        <x:v>No</x:v>
      </x:c>
      <x:c r="N35" s="57" t="str">
        <x:v>No</x:v>
      </x:c>
      <x:c r="O35" s="57" t="str">
        <x:v>Active</x:v>
      </x:c>
    </x:row>
  </x:sheetData>
  <x:dataValidations count="11">
    <x:dataValidation type="list" allowBlank="0" showDropDown="0" sqref="E2:E35">
      <x:formula1>"Yes,No"</x:formula1>
    </x:dataValidation>
    <x:dataValidation type="list" allowBlank="0" showDropDown="0" sqref="F2:F35">
      <x:formula1>"Yes,No"</x:formula1>
    </x:dataValidation>
    <x:dataValidation type="list" allowBlank="0" showDropDown="0" sqref="G2:G35">
      <x:formula1>"Yes,No"</x:formula1>
    </x:dataValidation>
    <x:dataValidation type="list" allowBlank="0" showDropDown="0" sqref="H2:H35">
      <x:formula1>"Yes,No"</x:formula1>
    </x:dataValidation>
    <x:dataValidation type="list" allowBlank="0" showDropDown="0" sqref="I2:I35">
      <x:formula1>"Yes,No"</x:formula1>
    </x:dataValidation>
    <x:dataValidation type="list" allowBlank="0" showDropDown="0" sqref="J2:J35">
      <x:formula1>"Yes,No"</x:formula1>
    </x:dataValidation>
    <x:dataValidation type="list" allowBlank="0" showDropDown="0" sqref="K2:K35">
      <x:formula1>"Yes,No"</x:formula1>
    </x:dataValidation>
    <x:dataValidation type="list" allowBlank="0" showDropDown="0" sqref="L2:L35">
      <x:formula1>"Yes,No"</x:formula1>
    </x:dataValidation>
    <x:dataValidation type="list" allowBlank="0" showDropDown="0" sqref="M2:M35">
      <x:formula1>"Yes,No"</x:formula1>
    </x:dataValidation>
    <x:dataValidation type="list" allowBlank="0" showDropDown="0" sqref="N2:N35">
      <x:formula1>"Yes,No"</x:formula1>
    </x:dataValidation>
    <x:dataValidation type="list" allowBlank="0" showDropDown="0" sqref="O2:O35">
      <x:formula1>"Active,Draft,Archived"</x:formula1>
    </x:dataValidation>
  </x:dataValidations>
  <x:pageMargins left="0.7" right="0.7" top="0.75" bottom="0.75" header="0.3" footer="0.3"/>
  <x:tableParts count="1">
    <x:tablePart xmlns:r="http://schemas.openxmlformats.org/officeDocument/2006/relationships" r:id="R595341c1bba341e4"/>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6.1299991607666" hidden="0" customWidth="1"/>
    <x:col min="4" max="4" width="14" hidden="0" customWidth="1"/>
  </x:cols>
  <x:sheetData>
    <x:row r="1" ht="15" hidden="0" customHeight="1">
      <x:c r="A1" s="58" t="str">
        <x:v>LinkID</x:v>
      </x:c>
      <x:c r="B1" s="58" t="str">
        <x:v>ItemID</x:v>
      </x:c>
      <x:c r="C1" s="58" t="str">
        <x:v>TagID</x:v>
      </x:c>
      <x:c r="D1" s="58" t="str">
        <x:v>Validation Status</x:v>
      </x:c>
    </x:row>
    <x:row r="2" ht="15" hidden="0" customHeight="1">
      <x:c r="A2" s="57" t="str">
        <x:v>ITEMTAG-ITEM-EPSOM-SALT-TAG-PAIN</x:v>
      </x:c>
      <x:c r="B2" s="57" t="str">
        <x:v>ITEM-EPSOM-SALT</x:v>
      </x:c>
      <x:c r="C2" s="57" t="str">
        <x:v>TAG-PAIN</x:v>
      </x:c>
      <x:c r="D2" s="57" t="str">
        <x:v>OK</x:v>
      </x:c>
    </x:row>
    <x:row r="3" ht="15" hidden="0" customHeight="1">
      <x:c r="A3" s="57" t="str">
        <x:v>ITEMTAG-ITEM-MCT-BALM-01-TAG-PAIN</x:v>
      </x:c>
      <x:c r="B3" s="57" t="str">
        <x:v>ITEM-MCT-BALM-01</x:v>
      </x:c>
      <x:c r="C3" s="57" t="str">
        <x:v>TAG-PAIN</x:v>
      </x:c>
      <x:c r="D3" s="57" t="str">
        <x:v>OK</x:v>
      </x:c>
    </x:row>
    <x:row r="4" ht="15" hidden="0" customHeight="1">
      <x:c r="A4" s="57" t="str">
        <x:v>ITEMTAG-ITEM-CUPPING-SET-TAG-PAIN</x:v>
      </x:c>
      <x:c r="B4" s="57" t="str">
        <x:v>ITEM-CUPPING-SET</x:v>
      </x:c>
      <x:c r="C4" s="57" t="str">
        <x:v>TAG-PAIN</x:v>
      </x:c>
      <x:c r="D4" s="57" t="str">
        <x:v>OK</x:v>
      </x:c>
    </x:row>
    <x:row r="5" ht="15" hidden="0" customHeight="1">
      <x:c r="A5" s="57" t="str">
        <x:v>ITEMTAG-ITEM-TRIGGER-BALL-6CM-TAG-PAIN</x:v>
      </x:c>
      <x:c r="B5" s="57" t="str">
        <x:v>ITEM-TRIGGER-BALL-6CM</x:v>
      </x:c>
      <x:c r="C5" s="57" t="str">
        <x:v>TAG-PAIN</x:v>
      </x:c>
      <x:c r="D5" s="57" t="str">
        <x:v>OK</x:v>
      </x:c>
    </x:row>
    <x:row r="6" ht="15" hidden="0" customHeight="1">
      <x:c r="A6" s="57" t="str">
        <x:v>ITEMTAG-ITEM-HEAT-PATCHES-6PK-TAG-PAIN</x:v>
      </x:c>
      <x:c r="B6" s="57" t="str">
        <x:v>ITEM-HEAT-PATCHES-6PK</x:v>
      </x:c>
      <x:c r="C6" s="57" t="str">
        <x:v>TAG-PAIN</x:v>
      </x:c>
      <x:c r="D6" s="57" t="str">
        <x:v>OK</x:v>
      </x:c>
    </x:row>
    <x:row r="7" ht="15" hidden="0" customHeight="1">
      <x:c r="A7" s="57" t="str">
        <x:v>ITEMTAG-ITEM-COCNUT-OIL-TAG-PAIN</x:v>
      </x:c>
      <x:c r="B7" s="57" t="str">
        <x:v>ITEM-COCNUT-OIL</x:v>
      </x:c>
      <x:c r="C7" s="57" t="str">
        <x:v>TAG-PAIN</x:v>
      </x:c>
      <x:c r="D7" s="57" t="str">
        <x:v>OK</x:v>
      </x:c>
    </x:row>
    <x:row r="8" ht="15" hidden="0" customHeight="1">
      <x:c r="A8" s="57" t="str">
        <x:v>ITEMTAG-ITEM-HEAT-OIL-TAG-PAIN</x:v>
      </x:c>
      <x:c r="B8" s="57" t="str">
        <x:v>ITEM-HEAT-OIL</x:v>
      </x:c>
      <x:c r="C8" s="57" t="str">
        <x:v>TAG-PAIN</x:v>
      </x:c>
      <x:c r="D8" s="57" t="str">
        <x:v>OK</x:v>
      </x:c>
    </x:row>
    <x:row r="9" ht="15" hidden="0" customHeight="1">
      <x:c r="A9" s="57" t="str">
        <x:v>ITEMTAG-ITEM-HEAT-PACK-TAG-PAIN</x:v>
      </x:c>
      <x:c r="B9" s="57" t="str">
        <x:v>ITEM-HEAT-PACK</x:v>
      </x:c>
      <x:c r="C9" s="57" t="str">
        <x:v>TAG-PAIN</x:v>
      </x:c>
      <x:c r="D9" s="57" t="str">
        <x:v>OK</x:v>
      </x:c>
    </x:row>
    <x:row r="10" ht="15" hidden="0" customHeight="1">
      <x:c r="A10" s="57" t="str">
        <x:v>ITEMTAG-ITEM-ICE-PACK-TAG-PAIN</x:v>
      </x:c>
      <x:c r="B10" s="57" t="str">
        <x:v>ITEM-ICE-PACK</x:v>
      </x:c>
      <x:c r="C10" s="57" t="str">
        <x:v>TAG-PAIN</x:v>
      </x:c>
      <x:c r="D10" s="57" t="str">
        <x:v>OK</x:v>
      </x:c>
    </x:row>
    <x:row r="11" ht="15" hidden="0" customHeight="1">
      <x:c r="A11" s="57" t="str">
        <x:v>ITEMTAG-ITEM-DRYNEED-30-TAG-PAIN</x:v>
      </x:c>
      <x:c r="B11" s="57" t="str">
        <x:v>ITEM-DRYNEED-30</x:v>
      </x:c>
      <x:c r="C11" s="57" t="str">
        <x:v>TAG-PAIN</x:v>
      </x:c>
      <x:c r="D11" s="57" t="str">
        <x:v>OK</x:v>
      </x:c>
    </x:row>
    <x:row r="12" ht="15" hidden="0" customHeight="1">
      <x:c r="A12" s="57" t="str">
        <x:v>ITEMTAG-ITEM-DRYNEED-18-TAG-PAIN</x:v>
      </x:c>
      <x:c r="B12" s="57" t="str">
        <x:v>ITEM-DRYNEED-18</x:v>
      </x:c>
      <x:c r="C12" s="57" t="str">
        <x:v>TAG-PAIN</x:v>
      </x:c>
      <x:c r="D12" s="57" t="str">
        <x:v>OK</x:v>
      </x:c>
    </x:row>
    <x:row r="13" ht="15" hidden="0" customHeight="1">
      <x:c r="A13" s="57" t="str">
        <x:v>ITEMTAG-ITEM-DRYNEED-45-TAG-PAIN</x:v>
      </x:c>
      <x:c r="B13" s="57" t="str">
        <x:v>ITEM-DRYNEED-45</x:v>
      </x:c>
      <x:c r="C13" s="57" t="str">
        <x:v>TAG-PAIN</x:v>
      </x:c>
      <x:c r="D13" s="57" t="str">
        <x:v>OK</x:v>
      </x:c>
    </x:row>
    <x:row r="14" ht="15" hidden="0" customHeight="1">
      <x:c r="A14" s="57" t="str">
        <x:v>ITEMTAG-ITEM-DRYNEED-75-TAG-PAIN</x:v>
      </x:c>
      <x:c r="B14" s="57" t="str">
        <x:v>ITEM-DRYNEED-75</x:v>
      </x:c>
      <x:c r="C14" s="57" t="str">
        <x:v>TAG-PAIN</x:v>
      </x:c>
      <x:c r="D14" s="57" t="str">
        <x:v>OK</x:v>
      </x:c>
    </x:row>
    <x:row r="15" ht="15" hidden="0" customHeight="1">
      <x:c r="A15" s="57" t="str">
        <x:v>ITEMTAG-ITEM-DRYNEED-100-TAG-PAIN</x:v>
      </x:c>
      <x:c r="B15" s="57" t="str">
        <x:v>ITEM-DRYNEED-100</x:v>
      </x:c>
      <x:c r="C15" s="57" t="str">
        <x:v>TAG-PAIN</x:v>
      </x:c>
      <x:c r="D15" s="57" t="str">
        <x:v>OK</x:v>
      </x:c>
    </x:row>
    <x:row r="16" ht="15" hidden="0" customHeight="1">
      <x:c r="A16" s="57" t="str">
        <x:v>ITEMTAG-ITEM-DRYNEED-20-TAG-PAIN</x:v>
      </x:c>
      <x:c r="B16" s="57" t="str">
        <x:v>ITEM-DRYNEED-20</x:v>
      </x:c>
      <x:c r="C16" s="57" t="str">
        <x:v>TAG-PAIN</x:v>
      </x:c>
      <x:c r="D16" s="57" t="str">
        <x:v>OK</x:v>
      </x:c>
    </x:row>
    <x:row r="17" ht="15" hidden="0" customHeight="1">
      <x:c r="A17" s="57" t="str">
        <x:v>ITEMTAG-ITEM-IANSM-GUA-TAG-PAIN</x:v>
      </x:c>
      <x:c r="B17" s="57" t="str">
        <x:v>ITEM-IANSM-GUA</x:v>
      </x:c>
      <x:c r="C17" s="57" t="str">
        <x:v>TAG-PAIN</x:v>
      </x:c>
      <x:c r="D17" s="57" t="str">
        <x:v>OK</x:v>
      </x:c>
    </x:row>
    <x:row r="18" ht="15" hidden="0" customHeight="1">
      <x:c r="A18" s="57" t="str">
        <x:v>ITEMTAG-ITEM-ELECTRO-MACH-TAG-PAIN</x:v>
      </x:c>
      <x:c r="B18" s="57" t="str">
        <x:v>ITEM-ELECTRO-MACH</x:v>
      </x:c>
      <x:c r="C18" s="57" t="str">
        <x:v>TAG-PAIN</x:v>
      </x:c>
      <x:c r="D18" s="57" t="str">
        <x:v>OK</x:v>
      </x:c>
    </x:row>
    <x:row r="19" ht="15" hidden="0" customHeight="1">
      <x:c r="A19" s="57" t="str">
        <x:v>ITEMTAG-ITEM-FOAM-ROLLER-TAG-PAIN</x:v>
      </x:c>
      <x:c r="B19" s="57" t="str">
        <x:v>ITEM-FOAM-ROLLER</x:v>
      </x:c>
      <x:c r="C19" s="57" t="str">
        <x:v>TAG-PAIN</x:v>
      </x:c>
      <x:c r="D19" s="57" t="str">
        <x:v>OK</x:v>
      </x:c>
    </x:row>
    <x:row r="20" ht="15" hidden="0" customHeight="1">
      <x:c r="A20" s="57" t="str">
        <x:v>ITEMTAG-ITEM-THERA-BLUE-TAG-FUNC</x:v>
      </x:c>
      <x:c r="B20" s="57" t="str">
        <x:v>ITEM-THERA-BLUE</x:v>
      </x:c>
      <x:c r="C20" s="57" t="str">
        <x:v>TAG-FUNC</x:v>
      </x:c>
      <x:c r="D20" s="57" t="str">
        <x:v>OK</x:v>
      </x:c>
    </x:row>
    <x:row r="21" ht="15" hidden="0" customHeight="1">
      <x:c r="A21" s="57" t="str">
        <x:v>ITEMTAG-ITEM-THERA-BLUE-TAG-LOAD</x:v>
      </x:c>
      <x:c r="B21" s="57" t="str">
        <x:v>ITEM-THERA-BLUE</x:v>
      </x:c>
      <x:c r="C21" s="57" t="str">
        <x:v>TAG-LOAD</x:v>
      </x:c>
      <x:c r="D21" s="57" t="str">
        <x:v>OK</x:v>
      </x:c>
    </x:row>
    <x:row r="22" ht="15" hidden="0" customHeight="1">
      <x:c r="A22" s="57" t="str">
        <x:v>ITEMTAG-ITEM-THERA-RED-TAG-FUNC</x:v>
      </x:c>
      <x:c r="B22" s="57" t="str">
        <x:v>ITEM-THERA-RED</x:v>
      </x:c>
      <x:c r="C22" s="57" t="str">
        <x:v>TAG-FUNC</x:v>
      </x:c>
      <x:c r="D22" s="57" t="str">
        <x:v>OK</x:v>
      </x:c>
    </x:row>
    <x:row r="23" ht="15" hidden="0" customHeight="1">
      <x:c r="A23" s="57" t="str">
        <x:v>ITEMTAG-ITEM-THERA-RED-TAG-LOAD</x:v>
      </x:c>
      <x:c r="B23" s="57" t="str">
        <x:v>ITEM-THERA-RED</x:v>
      </x:c>
      <x:c r="C23" s="57" t="str">
        <x:v>TAG-LOAD</x:v>
      </x:c>
      <x:c r="D23" s="57" t="str">
        <x:v>OK</x:v>
      </x:c>
    </x:row>
    <x:row r="24" ht="15" hidden="0" customHeight="1">
      <x:c r="A24" s="57" t="str">
        <x:v>ITEMTAG-ITEM-THERA-GREEN-TAG-FUNC</x:v>
      </x:c>
      <x:c r="B24" s="57" t="str">
        <x:v>ITEM-THERA-GREEN</x:v>
      </x:c>
      <x:c r="C24" s="57" t="str">
        <x:v>TAG-FUNC</x:v>
      </x:c>
      <x:c r="D24" s="57" t="str">
        <x:v>OK</x:v>
      </x:c>
    </x:row>
    <x:row r="25" ht="15" hidden="0" customHeight="1">
      <x:c r="A25" s="57" t="str">
        <x:v>ITEMTAG-ITEM-THERA-GREEN-TAG-LOAD</x:v>
      </x:c>
      <x:c r="B25" s="57" t="str">
        <x:v>ITEM-THERA-GREEN</x:v>
      </x:c>
      <x:c r="C25" s="57" t="str">
        <x:v>TAG-LOAD</x:v>
      </x:c>
      <x:c r="D25" s="57" t="str">
        <x:v>OK</x:v>
      </x:c>
    </x:row>
    <x:row r="26" ht="15" hidden="0" customHeight="1">
      <x:c r="A26" s="57" t="str">
        <x:v>ITEMTAG-ITEM-THERA-YELLOW-TAG-FUNC</x:v>
      </x:c>
      <x:c r="B26" s="57" t="str">
        <x:v>ITEM-THERA-YELLOW</x:v>
      </x:c>
      <x:c r="C26" s="57" t="str">
        <x:v>TAG-FUNC</x:v>
      </x:c>
      <x:c r="D26" s="57" t="str">
        <x:v>OK</x:v>
      </x:c>
    </x:row>
    <x:row r="27" ht="15" hidden="0" customHeight="1">
      <x:c r="A27" s="57" t="str">
        <x:v>ITEMTAG-ITEM-THERA-YELLOW-TAG-LOAD</x:v>
      </x:c>
      <x:c r="B27" s="57" t="str">
        <x:v>ITEM-THERA-YELLOW</x:v>
      </x:c>
      <x:c r="C27" s="57" t="str">
        <x:v>TAG-LOAD</x:v>
      </x:c>
      <x:c r="D27" s="57" t="str">
        <x:v>OK</x:v>
      </x:c>
    </x:row>
    <x:row r="28" ht="15" hidden="0" customHeight="1">
      <x:c r="A28" s="57" t="str">
        <x:v>ITEMTAG-ITEM-REFORMER-TAG-FUNC</x:v>
      </x:c>
      <x:c r="B28" s="57" t="str">
        <x:v>ITEM-REFORMER</x:v>
      </x:c>
      <x:c r="C28" s="57" t="str">
        <x:v>TAG-FUNC</x:v>
      </x:c>
      <x:c r="D28" s="57" t="str">
        <x:v>OK</x:v>
      </x:c>
    </x:row>
    <x:row r="29" ht="15" hidden="0" customHeight="1">
      <x:c r="A29" s="57" t="str">
        <x:v>ITEMTAG-ITEM-REFORMER-TAG-LOAD</x:v>
      </x:c>
      <x:c r="B29" s="57" t="str">
        <x:v>ITEM-REFORMER</x:v>
      </x:c>
      <x:c r="C29" s="57" t="str">
        <x:v>TAG-LOAD</x:v>
      </x:c>
      <x:c r="D29" s="57" t="str">
        <x:v>OK</x:v>
      </x:c>
    </x:row>
    <x:row r="30" ht="15" hidden="0" customHeight="1">
      <x:c r="A30" s="57" t="str">
        <x:v>ITEMTAG-ITEM-WUNDA-CHAIR-TAG-FUNC</x:v>
      </x:c>
      <x:c r="B30" s="57" t="str">
        <x:v>ITEM-WUNDA-CHAIR</x:v>
      </x:c>
      <x:c r="C30" s="57" t="str">
        <x:v>TAG-FUNC</x:v>
      </x:c>
      <x:c r="D30" s="57" t="str">
        <x:v>OK</x:v>
      </x:c>
    </x:row>
    <x:row r="31" ht="15" hidden="0" customHeight="1">
      <x:c r="A31" s="57" t="str">
        <x:v>ITEMTAG-ITEM-WUNDA-CHAIR-TAG-LOAD</x:v>
      </x:c>
      <x:c r="B31" s="57" t="str">
        <x:v>ITEM-WUNDA-CHAIR</x:v>
      </x:c>
      <x:c r="C31" s="57" t="str">
        <x:v>TAG-LOAD</x:v>
      </x:c>
      <x:c r="D31" s="57" t="str">
        <x:v>OK</x:v>
      </x:c>
    </x:row>
    <x:row r="32" ht="15" hidden="0" customHeight="1">
      <x:c r="A32" s="57" t="str">
        <x:v>ITEMTAG-ITEM-BARREL-TAG-FUNC</x:v>
      </x:c>
      <x:c r="B32" s="57" t="str">
        <x:v>ITEM-BARREL</x:v>
      </x:c>
      <x:c r="C32" s="57" t="str">
        <x:v>TAG-FUNC</x:v>
      </x:c>
      <x:c r="D32" s="57" t="str">
        <x:v>OK</x:v>
      </x:c>
    </x:row>
    <x:row r="33" ht="15" hidden="0" customHeight="1">
      <x:c r="A33" s="57" t="str">
        <x:v>ITEMTAG-ITEM-BARREL-TAG-LOAD</x:v>
      </x:c>
      <x:c r="B33" s="57" t="str">
        <x:v>ITEM-BARREL</x:v>
      </x:c>
      <x:c r="C33" s="57" t="str">
        <x:v>TAG-LOAD</x:v>
      </x:c>
      <x:c r="D33" s="57" t="str">
        <x:v>OK</x:v>
      </x:c>
    </x:row>
    <x:row r="34" ht="15" hidden="0" customHeight="1">
      <x:c r="A34" s="57" t="str">
        <x:v>ITEMTAG-ITEM-PILATES-STICK-TAG-FUNC</x:v>
      </x:c>
      <x:c r="B34" s="57" t="str">
        <x:v>ITEM-PILATES-STICK</x:v>
      </x:c>
      <x:c r="C34" s="57" t="str">
        <x:v>TAG-FUNC</x:v>
      </x:c>
      <x:c r="D34" s="57" t="str">
        <x:v>OK</x:v>
      </x:c>
    </x:row>
    <x:row r="35" ht="15" hidden="0" customHeight="1">
      <x:c r="A35" s="57" t="str">
        <x:v>ITEMTAG-ITEM-PILATES-STICK-TAG-LOAD</x:v>
      </x:c>
      <x:c r="B35" s="57" t="str">
        <x:v>ITEM-PILATES-STICK</x:v>
      </x:c>
      <x:c r="C35" s="57" t="str">
        <x:v>TAG-LOAD</x:v>
      </x:c>
      <x:c r="D35" s="57" t="str">
        <x:v>OK</x:v>
      </x:c>
    </x:row>
    <x:row r="36" ht="15" hidden="0" customHeight="1">
      <x:c r="A36" s="57" t="str">
        <x:v>ITEMTAG-ITEM-DUMBELL-1KG-TAG-FUNC</x:v>
      </x:c>
      <x:c r="B36" s="57" t="str">
        <x:v>ITEM-DUMBELL-1KG</x:v>
      </x:c>
      <x:c r="C36" s="57" t="str">
        <x:v>TAG-FUNC</x:v>
      </x:c>
      <x:c r="D36" s="57" t="str">
        <x:v>OK</x:v>
      </x:c>
    </x:row>
    <x:row r="37" ht="15" hidden="0" customHeight="1">
      <x:c r="A37" s="57" t="str">
        <x:v>ITEMTAG-ITEM-DUMBELL-1KG-TAG-LOAD</x:v>
      </x:c>
      <x:c r="B37" s="57" t="str">
        <x:v>ITEM-DUMBELL-1KG</x:v>
      </x:c>
      <x:c r="C37" s="57" t="str">
        <x:v>TAG-LOAD</x:v>
      </x:c>
      <x:c r="D37" s="57" t="str">
        <x:v>OK</x:v>
      </x:c>
    </x:row>
    <x:row r="38" ht="15" hidden="0" customHeight="1">
      <x:c r="A38" s="57" t="str">
        <x:v>ITEMTAG-ITEM-DUMBELL-3KG-TAG-FUNC</x:v>
      </x:c>
      <x:c r="B38" s="57" t="str">
        <x:v>ITEM-DUMBELL-3KG</x:v>
      </x:c>
      <x:c r="C38" s="57" t="str">
        <x:v>TAG-FUNC</x:v>
      </x:c>
      <x:c r="D38" s="57" t="str">
        <x:v>OK</x:v>
      </x:c>
    </x:row>
    <x:row r="39" ht="15" hidden="0" customHeight="1">
      <x:c r="A39" s="57" t="str">
        <x:v>ITEMTAG-ITEM-DUMBELL-3KG-TAG-LOAD</x:v>
      </x:c>
      <x:c r="B39" s="57" t="str">
        <x:v>ITEM-DUMBELL-3KG</x:v>
      </x:c>
      <x:c r="C39" s="57" t="str">
        <x:v>TAG-LOAD</x:v>
      </x:c>
      <x:c r="D39" s="57" t="str">
        <x:v>OK</x:v>
      </x:c>
    </x:row>
    <x:row r="40" ht="15" hidden="0" customHeight="1">
      <x:c r="A40" s="57" t="str">
        <x:v>ITEMTAG-ITEM-DUMBELL-5KG-TAG-FUNC</x:v>
      </x:c>
      <x:c r="B40" s="57" t="str">
        <x:v>ITEM-DUMBELL-5KG</x:v>
      </x:c>
      <x:c r="C40" s="57" t="str">
        <x:v>TAG-FUNC</x:v>
      </x:c>
      <x:c r="D40" s="57" t="str">
        <x:v>OK</x:v>
      </x:c>
    </x:row>
    <x:row r="41" ht="15" hidden="0" customHeight="1">
      <x:c r="A41" s="57" t="str">
        <x:v>ITEMTAG-ITEM-DUMBELL-5KG-TAG-LOAD</x:v>
      </x:c>
      <x:c r="B41" s="57" t="str">
        <x:v>ITEM-DUMBELL-5KG</x:v>
      </x:c>
      <x:c r="C41" s="57" t="str">
        <x:v>TAG-LOAD</x:v>
      </x:c>
      <x:c r="D41" s="57" t="str">
        <x:v>OK</x:v>
      </x:c>
    </x:row>
    <x:row r="42" ht="15" hidden="0" customHeight="1">
      <x:c r="A42" s="57" t="str">
        <x:v>ITEMTAG-ITEM-GONIOMETER-TAG-PAIN</x:v>
      </x:c>
      <x:c r="B42" s="57" t="str">
        <x:v>ITEM-GONIOMETER</x:v>
      </x:c>
      <x:c r="C42" s="57" t="str">
        <x:v>TAG-PAIN</x:v>
      </x:c>
      <x:c r="D42" s="57" t="str">
        <x:v>OK</x:v>
      </x:c>
    </x:row>
    <x:row r="43" ht="15" hidden="0" customHeight="1">
      <x:c r="A43" s="57" t="str">
        <x:v>ITEMTAG-ITEM-TUNING-FORK-TAG-NEURO</x:v>
      </x:c>
      <x:c r="B43" s="57" t="str">
        <x:v>ITEM-TUNING FORK</x:v>
      </x:c>
      <x:c r="C43" s="57" t="str">
        <x:v>TAG-NEURO</x:v>
      </x:c>
      <x:c r="D43" s="57" t="str">
        <x:v>OK</x:v>
      </x:c>
    </x:row>
    <x:row r="44" ht="15" hidden="0" customHeight="1">
      <x:c r="A44" s="57" t="str">
        <x:v>ITEMTAG-ITEM-REFLEX-HAMM-TAG-NEURO</x:v>
      </x:c>
      <x:c r="B44" s="57" t="str">
        <x:v>ITEM-REFLEX-HAMM</x:v>
      </x:c>
      <x:c r="C44" s="57" t="str">
        <x:v>TAG-NEURO</x:v>
      </x:c>
      <x:c r="D44" s="57" t="str">
        <x:v>OK</x:v>
      </x:c>
    </x:row>
    <x:row r="45" ht="15" hidden="0" customHeight="1">
      <x:c r="A45" s="57" t="str">
        <x:v>ITEMTAG-ITEM-ROCKTAPE-BIG-TAG-PAIN</x:v>
      </x:c>
      <x:c r="B45" s="57" t="str">
        <x:v>ITEM-ROCKTAPE-BIG</x:v>
      </x:c>
      <x:c r="C45" s="57" t="str">
        <x:v>TAG-PAIN</x:v>
      </x:c>
      <x:c r="D45" s="57" t="str">
        <x:v>OK</x:v>
      </x:c>
    </x:row>
    <x:row r="46" ht="15" hidden="0" customHeight="1">
      <x:c r="A46" s="57" t="str">
        <x:v>ITEMTAG-ITEM-ROCKTAPE-SML-TAG-PAIN</x:v>
      </x:c>
      <x:c r="B46" s="57" t="str">
        <x:v>ITEM-ROCKTAPE-SML</x:v>
      </x:c>
      <x:c r="C46" s="57" t="str">
        <x:v>TAG-PAIN</x:v>
      </x:c>
      <x:c r="D46" s="57" t="str">
        <x:v>OK</x:v>
      </x:c>
    </x:row>
    <x:row r="47" ht="15" hidden="0" customHeight="1">
      <x:c r="A47" s="57" t="str">
        <x:v>ITEMTAG-ITEM-RIDGID-TAPE-TAG-PAIN</x:v>
      </x:c>
      <x:c r="B47" s="57" t="str">
        <x:v>ITEM-RIDGID-TAPE</x:v>
      </x:c>
      <x:c r="C47" s="57" t="str">
        <x:v>TAG-PAIN</x:v>
      </x:c>
      <x:c r="D47" s="57" t="str">
        <x:v>OK</x:v>
      </x:c>
    </x:row>
    <x:row r="48" ht="15" hidden="0" customHeight="1">
      <x:c r="A48" s="57" t="str">
        <x:v>ITEMTAG-ITEM-UNDERWRAP-TAPE-TAG-PAIN</x:v>
      </x:c>
      <x:c r="B48" s="57" t="str">
        <x:v>ITEM-UNDERWRAP-TAPE</x:v>
      </x:c>
      <x:c r="C48" s="57" t="str">
        <x:v>TAG-PAIN</x:v>
      </x:c>
      <x:c r="D48" s="57" t="str">
        <x:v>OK</x:v>
      </x:c>
    </x:row>
    <x:row r="49" ht="15" hidden="0" customHeight="1">
      <x:c r="A49" s="57" t="str">
        <x:v>ITEMTAG-ITEM-CHI-BALL-TAG-FUNC</x:v>
      </x:c>
      <x:c r="B49" s="57" t="str">
        <x:v>ITEM-CHI-BALL</x:v>
      </x:c>
      <x:c r="C49" s="57" t="str">
        <x:v>TAG-FUNC</x:v>
      </x:c>
      <x:c r="D49" s="57" t="str">
        <x:v>OK</x:v>
      </x:c>
    </x:row>
    <x:row r="50" ht="15" hidden="0" customHeight="1">
      <x:c r="A50" s="57" t="str">
        <x:v>ITEMTAG-ITEM-COURSE-001-TAG-PAIN</x:v>
      </x:c>
      <x:c r="B50" s="57" t="str">
        <x:v>ITEM-COURSE-001</x:v>
      </x:c>
      <x:c r="C50" s="57" t="str">
        <x:v>TAG-PAIN</x:v>
      </x:c>
      <x:c r="D50" s="57" t="str">
        <x:v>OK</x:v>
      </x:c>
    </x:row>
    <x:row r="51" ht="15" hidden="0" customHeight="1">
      <x:c r="A51" s="57" t="str">
        <x:v>ITEMTAG-ITEM-TRIGGER-001-TAG-PAIN</x:v>
      </x:c>
      <x:c r="B51" s="57" t="str">
        <x:v>ITEM-TRIGGER-001</x:v>
      </x:c>
      <x:c r="C51" s="57" t="str">
        <x:v>TAG-PAIN</x:v>
      </x:c>
      <x:c r="D51" s="57" t="str">
        <x:v>OK</x:v>
      </x:c>
    </x:row>
    <x:row r="52" ht="15" hidden="0" customHeight="1">
      <x:c r="A52" s="57" t="str">
        <x:v>ITEMTAG-ITEM-BUS-001-TAG-OPERATIONS</x:v>
      </x:c>
      <x:c r="B52" s="57" t="str">
        <x:v>ITEM-BUS-001</x:v>
      </x:c>
      <x:c r="C52" s="57" t="str">
        <x:v>TAG-OPERATIONS</x:v>
      </x:c>
      <x:c r="D52" s="57" t="str">
        <x:v>OK</x:v>
      </x:c>
    </x:row>
    <x:row r="53" ht="15" hidden="0" customHeight="1">
      <x:c r="A53" s="57" t="str">
        <x:v>ITEMTAG-ITEM-COMMERCE-POLICY-TAG-ECOMMERCE</x:v>
      </x:c>
      <x:c r="B53" s="57" t="str">
        <x:v>ITEM-COMMERCE-POLICY</x:v>
      </x:c>
      <x:c r="C53" s="57" t="str">
        <x:v>TAG-ECOMMERCE</x:v>
      </x:c>
      <x:c r="D53" s="57" t="str">
        <x:v>OK</x:v>
      </x:c>
    </x:row>
    <x:row r="54" ht="15" hidden="0" customHeight="1">
      <x:c r="A54" s="57" t="str">
        <x:v>ITEMTAG-ITEM-COMMERCE-POLICY-TAG-WEBSITE</x:v>
      </x:c>
      <x:c r="B54" s="57" t="str">
        <x:v>ITEM-COMMERCE-POLICY</x:v>
      </x:c>
      <x:c r="C54" s="57" t="str">
        <x:v>TAG-WEBSITE</x:v>
      </x:c>
      <x:c r="D54" s="57" t="str">
        <x:v>OK</x:v>
      </x:c>
    </x:row>
    <x:row r="55" ht="15" hidden="0" customHeight="1">
      <x:c r="A55" s="57" t="str">
        <x:v>ITEMTAG-ITEM-COMMERCE-POLICY-TAG-LEGAL</x:v>
      </x:c>
      <x:c r="B55" s="57" t="str">
        <x:v>ITEM-COMMERCE-POLICY</x:v>
      </x:c>
      <x:c r="C55" s="57" t="str">
        <x:v>TAG-LEGAL</x:v>
      </x:c>
      <x:c r="D55" s="57" t="str">
        <x:v>OK</x:v>
      </x:c>
    </x:row>
    <x:row r="56" ht="15" hidden="0" customHeight="1">
      <x:c r="A56" s="57" t="str">
        <x:v>ITEMTAG-ITEM-PARTNER-AGREEMENT-TAG-AFFILIATE</x:v>
      </x:c>
      <x:c r="B56" s="57" t="str">
        <x:v>ITEM-PARTNER-AGREEMENT</x:v>
      </x:c>
      <x:c r="C56" s="57" t="str">
        <x:v>TAG-AFFILIATE</x:v>
      </x:c>
      <x:c r="D56" s="57" t="str">
        <x:v>OK</x:v>
      </x:c>
    </x:row>
    <x:row r="57" ht="15" hidden="0" customHeight="1">
      <x:c r="A57" s="57" t="str">
        <x:v>ITEMTAG-ITEM-PARTNER-AGREEMENT-TAG-THERAPIST</x:v>
      </x:c>
      <x:c r="B57" s="57" t="str">
        <x:v>ITEM-PARTNER-AGREEMENT</x:v>
      </x:c>
      <x:c r="C57" s="57" t="str">
        <x:v>TAG-THERAPIST</x:v>
      </x:c>
      <x:c r="D57" s="57" t="str">
        <x:v>OK</x:v>
      </x:c>
    </x:row>
    <x:row r="58" ht="15" hidden="0" customHeight="1">
      <x:c r="A58" s="57" t="str">
        <x:v>ITEMTAG-ITEM-PARTNER-AGREEMENT-TAG-PARTNERSHIP</x:v>
      </x:c>
      <x:c r="B58" s="57" t="str">
        <x:v>ITEM-PARTNER-AGREEMENT</x:v>
      </x:c>
      <x:c r="C58" s="57" t="str">
        <x:v>TAG-PARTNERSHIP</x:v>
      </x:c>
      <x:c r="D58" s="57" t="str">
        <x:v>OK</x:v>
      </x:c>
    </x:row>
    <x:row r="59" ht="15" hidden="0" customHeight="1">
      <x:c r="A59" s="57" t="str">
        <x:v>ITEMTAG-ITEM-PARTNER-AGREEMENT-TAG-LEGAL</x:v>
      </x:c>
      <x:c r="B59" s="57" t="str">
        <x:v>ITEM-PARTNER-AGREEMENT</x:v>
      </x:c>
      <x:c r="C59" s="57" t="str">
        <x:v>TAG-LEGAL</x:v>
      </x:c>
      <x:c r="D59" s="57" t="str">
        <x:v>OK</x:v>
      </x:c>
    </x:row>
    <x:row r="60" ht="15" hidden="0" customHeight="1">
      <x:c r="A60" s="57" t="str">
        <x:v>ITEMTAG-ITEM-PRIVACY-POLICY-TAG-PRIVACY</x:v>
      </x:c>
      <x:c r="B60" s="57" t="str">
        <x:v>ITEM-PRIVACY-POLICY</x:v>
      </x:c>
      <x:c r="C60" s="57" t="str">
        <x:v>TAG-PRIVACY</x:v>
      </x:c>
      <x:c r="D60" s="57" t="str">
        <x:v>OK</x:v>
      </x:c>
    </x:row>
    <x:row r="61" ht="15" hidden="0" customHeight="1">
      <x:c r="A61" s="57" t="str">
        <x:v>ITEMTAG-ITEM-PRIVACY-POLICY-TAG-LEGAL</x:v>
      </x:c>
      <x:c r="B61" s="57" t="str">
        <x:v>ITEM-PRIVACY-POLICY</x:v>
      </x:c>
      <x:c r="C61" s="57" t="str">
        <x:v>TAG-LEGAL</x:v>
      </x:c>
      <x:c r="D61" s="57" t="str">
        <x:v>OK</x:v>
      </x:c>
    </x:row>
    <x:row r="62" ht="15" hidden="0" customHeight="1">
      <x:c r="A62" s="57" t="str">
        <x:v>ITEMTAG-ITEM-PRIVACY-POLICY-TAG-WEBSITE</x:v>
      </x:c>
      <x:c r="B62" s="57" t="str">
        <x:v>ITEM-PRIVACY-POLICY</x:v>
      </x:c>
      <x:c r="C62" s="57" t="str">
        <x:v>TAG-WEBSITE</x:v>
      </x:c>
      <x:c r="D62" s="57" t="str">
        <x:v>OK</x:v>
      </x:c>
    </x:row>
    <x:row r="63" ht="15" hidden="0" customHeight="1">
      <x:c r="A63" s="57" t="str">
        <x:v>ITEMTAG-ITEM-PRIVACY-POLICY-TAG-COMPLIANCE</x:v>
      </x:c>
      <x:c r="B63" s="57" t="str">
        <x:v>ITEM-PRIVACY-POLICY</x:v>
      </x:c>
      <x:c r="C63" s="57" t="str">
        <x:v>TAG-COMPLIANCE</x:v>
      </x:c>
      <x:c r="D63" s="57" t="str">
        <x:v>OK</x:v>
      </x:c>
    </x:row>
    <x:row r="64" ht="15" hidden="0" customHeight="1">
      <x:c r="A64" s="57" t="str">
        <x:v>ITEMTAG-ITEM-TERMS-CONDITIONS-TAG-LEGAL</x:v>
      </x:c>
      <x:c r="B64" s="57" t="str">
        <x:v>ITEM-TERMS-CONDITIONS</x:v>
      </x:c>
      <x:c r="C64" s="57" t="str">
        <x:v>TAG-LEGAL</x:v>
      </x:c>
      <x:c r="D64" s="57" t="str">
        <x:v>OK</x:v>
      </x:c>
    </x:row>
    <x:row r="65" ht="15" hidden="0" customHeight="1">
      <x:c r="A65" s="57" t="str">
        <x:v>ITEMTAG-ITEM-TERMS-CONDITIONS-TAG-WEBSITE</x:v>
      </x:c>
      <x:c r="B65" s="57" t="str">
        <x:v>ITEM-TERMS-CONDITIONS</x:v>
      </x:c>
      <x:c r="C65" s="57" t="str">
        <x:v>TAG-WEBSITE</x:v>
      </x:c>
      <x:c r="D65" s="57" t="str">
        <x:v>OK</x:v>
      </x:c>
    </x:row>
    <x:row r="66" ht="15" hidden="0" customHeight="1">
      <x:c r="A66" s="57" t="str">
        <x:v>ITEMTAG-ITEM-TERMS-CONDITIONS-TAG-CUSTOMER</x:v>
      </x:c>
      <x:c r="B66" s="57" t="str">
        <x:v>ITEM-TERMS-CONDITIONS</x:v>
      </x:c>
      <x:c r="C66" s="57" t="str">
        <x:v>TAG-CUSTOMER</x:v>
      </x:c>
      <x:c r="D66" s="57" t="str">
        <x:v>OK</x:v>
      </x:c>
    </x:row>
  </x:sheetData>
  <x:pageMargins left="0.7" right="0.7" top="0.75" bottom="0.75" header="0.3" footer="0.3"/>
  <x:tableParts count="1">
    <x:tablePart xmlns:r="http://schemas.openxmlformats.org/officeDocument/2006/relationships" r:id="R3e8ff30b076f4c95"/>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4" hidden="0" customWidth="1"/>
  </x:cols>
  <x:sheetData>
    <x:row r="1" ht="15" hidden="0" customHeight="1">
      <x:c r="A1" s="58" t="str">
        <x:v>LinkID</x:v>
      </x:c>
      <x:c r="B1" s="58" t="str">
        <x:v>PlanID</x:v>
      </x:c>
      <x:c r="C1" s="58" t="str">
        <x:v>TagID</x:v>
      </x:c>
      <x:c r="D1" s="58" t="str">
        <x:v>Validation Status</x:v>
      </x:c>
    </x:row>
  </x:sheetData>
  <x:pageMargins left="0.7" right="0.7" top="0.75" bottom="0.75" header="0.3" footer="0.3"/>
  <x:tableParts count="1">
    <x:tablePart xmlns:r="http://schemas.openxmlformats.org/officeDocument/2006/relationships" r:id="R462b3bafc82349e9"/>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14.75" hidden="0" customWidth="1"/>
    <x:col min="2" max="2" width="39.5" hidden="0" customWidth="1"/>
    <x:col min="3" max="3" width="16.8799991607666" hidden="0" customWidth="1"/>
    <x:col min="4" max="4" width="48" hidden="0" customWidth="1"/>
    <x:col min="5" max="5" width="48" hidden="0" customWidth="1"/>
  </x:cols>
  <x:sheetData>
    <x:row r="1" ht="32" customHeight="1">
      <x:c r="A1" s="63" t="str">
        <x:v>Workbook Sheet</x:v>
      </x:c>
      <x:c r="B1" s="63" t="str">
        <x:v>Firestore Target</x:v>
      </x:c>
      <x:c r="C1" s="63" t="str">
        <x:v>Key</x:v>
      </x:c>
      <x:c r="D1" s="63" t="str">
        <x:v>Transformation / Rule</x:v>
      </x:c>
      <x:c r="E1" s="63" t="str">
        <x:v>Compatibility</x:v>
      </x:c>
    </x:row>
    <x:row r="2">
      <x:c r="A2" s="57" t="str">
        <x:v>Items</x:v>
      </x:c>
      <x:c r="B2" s="57" t="str">
        <x:v>items</x:v>
      </x:c>
      <x:c r="C2" s="57" t="str">
        <x:v>ItemID</x:v>
      </x:c>
      <x:c r="D2" s="64" t="str">
        <x:v>Canonical reusable resource. TypeID is the normalized subtype; CategoryID is the single primary category.</x:v>
      </x:c>
      <x:c r="E2" s="64" t="str">
        <x:v>Keep FirebaseType and legacy TagID until the importer is upgraded.</x:v>
      </x:c>
    </x:row>
    <x:row r="3">
      <x:c r="A3" s="57" t="str">
        <x:v>Entity Types</x:v>
      </x:c>
      <x:c r="B3" s="57" t="str">
        <x:v>settings/contentBuilderOptions or static configuration</x:v>
      </x:c>
      <x:c r="C3" s="57" t="str">
        <x:v>TypeID</x:v>
      </x:c>
      <x:c r="D3" s="64" t="str">
        <x:v>Capability defaults guide UI fields. They do not create related documents.</x:v>
      </x:c>
      <x:c r="E3" s="64" t="str">
        <x:v>Specification only in this pass.</x:v>
      </x:c>
    </x:row>
    <x:row r="4">
      <x:c r="A4" s="57" t="str">
        <x:v>Category</x:v>
      </x:c>
      <x:c r="B4" s="57" t="str">
        <x:v>category lookup/configuration</x:v>
      </x:c>
      <x:c r="C4" s="57" t="str">
        <x:v>CategoryID</x:v>
      </x:c>
      <x:c r="D4" s="64" t="str">
        <x:v>Trim IDs and preserve stable CAT-* identifiers.</x:v>
      </x:c>
      <x:c r="E4" s="64" t="str">
        <x:v>Existing categoryId fields remain valid.</x:v>
      </x:c>
    </x:row>
    <x:row r="5">
      <x:c r="A5" s="57" t="str">
        <x:v>Tags</x:v>
      </x:c>
      <x:c r="B5" s="57" t="str">
        <x:v>tag lookup/configuration</x:v>
      </x:c>
      <x:c r="C5" s="57" t="str">
        <x:v>TagID</x:v>
      </x:c>
      <x:c r="D5" s="64" t="str">
        <x:v>Tag definitions are reusable; Status controls availability.</x:v>
      </x:c>
      <x:c r="E5" s="64" t="str">
        <x:v>Current importer resolves Item.TagID through this table.</x:v>
      </x:c>
    </x:row>
    <x:row r="6">
      <x:c r="A6" s="57" t="str">
        <x:v>ItemTagLinks</x:v>
      </x:c>
      <x:c r="B6" s="57" t="str">
        <x:v>items.tags array</x:v>
      </x:c>
      <x:c r="C6" s="57" t="str">
        <x:v>LinkID</x:v>
      </x:c>
      <x:c r="D6" s="64" t="str">
        <x:v>Group by ItemID, resolve TagID to TagName, and write a unique tags array.</x:v>
      </x:c>
      <x:c r="E6" s="64" t="str">
        <x:v>Future source of truth; Items.TagID remains the current compatibility mirror.</x:v>
      </x:c>
    </x:row>
    <x:row r="7">
      <x:c r="A7" s="57" t="str">
        <x:v>Blueprints</x:v>
      </x:c>
      <x:c r="B7" s="57" t="str">
        <x:v>blueprints</x:v>
      </x:c>
      <x:c r="C7" s="57" t="str">
        <x:v>BlueprintID</x:v>
      </x:c>
      <x:c r="D7" s="64" t="str">
        <x:v>Canonical reusable action; BlueprintTypeID controls expected capabilities.</x:v>
      </x:c>
      <x:c r="E7" s="64" t="str">
        <x:v>No current product-import dependency.</x:v>
      </x:c>
    </x:row>
    <x:row r="8">
      <x:c r="A8" s="57" t="str">
        <x:v>BlueprintTagLinks</x:v>
      </x:c>
      <x:c r="B8" s="57" t="str">
        <x:v>blueprints.tags array</x:v>
      </x:c>
      <x:c r="C8" s="57" t="str">
        <x:v>LinkID</x:v>
      </x:c>
      <x:c r="D8" s="64" t="str">
        <x:v>Group by BlueprintID and resolve TagID values.</x:v>
      </x:c>
      <x:c r="E8" s="64" t="str">
        <x:v>Requires future importer support.</x:v>
      </x:c>
    </x:row>
    <x:row r="9">
      <x:c r="A9" s="57" t="str">
        <x:v>Blueprint Items</x:v>
      </x:c>
      <x:c r="B9" s="57" t="str">
        <x:v>blueprintItems or blueprints.items</x:v>
      </x:c>
      <x:c r="C9" s="57" t="str">
        <x:v>BlueprintItemID</x:v>
      </x:c>
      <x:c r="D9" s="64" t="str">
        <x:v>Each row links one Blueprint to one canonical Item with role/order/quantity.</x:v>
      </x:c>
      <x:c r="E9" s="64" t="str">
        <x:v>Name-only components are warnings until an ItemID is assigned.</x:v>
      </x:c>
    </x:row>
    <x:row r="10">
      <x:c r="A10" s="57" t="str">
        <x:v>Plan</x:v>
      </x:c>
      <x:c r="B10" s="57" t="str">
        <x:v>plans</x:v>
      </x:c>
      <x:c r="C10" s="57" t="str">
        <x:v>PlanID</x:v>
      </x:c>
      <x:c r="D10" s="64" t="str">
        <x:v>Canonical reusable journey; PlanTypeID controls expected composition and optional details.</x:v>
      </x:c>
      <x:c r="E10" s="64" t="str">
        <x:v>No current product-import dependency.</x:v>
      </x:c>
    </x:row>
    <x:row r="11">
      <x:c r="A11" s="57" t="str">
        <x:v>PlanTagLinks</x:v>
      </x:c>
      <x:c r="B11" s="57" t="str">
        <x:v>plans.tags array</x:v>
      </x:c>
      <x:c r="C11" s="57" t="str">
        <x:v>LinkID</x:v>
      </x:c>
      <x:c r="D11" s="64" t="str">
        <x:v>Group by PlanID and resolve TagID values.</x:v>
      </x:c>
      <x:c r="E11" s="64" t="str">
        <x:v>Requires future importer support.</x:v>
      </x:c>
    </x:row>
    <x:row r="12">
      <x:c r="A12" s="57" t="str">
        <x:v>Plan Items</x:v>
      </x:c>
      <x:c r="B12" s="57" t="str">
        <x:v>planItems or plans.components</x:v>
      </x:c>
      <x:c r="C12" s="57" t="str">
        <x:v>PlanItemID</x:v>
      </x:c>
      <x:c r="D12" s="64" t="str">
        <x:v>ComponentKind selects exactly one of BlueprintID or ItemID; preserve SlotOrder.</x:v>
      </x:c>
      <x:c r="E12" s="64" t="str">
        <x:v>Requires future importer support.</x:v>
      </x:c>
    </x:row>
    <x:row r="13">
      <x:c r="A13" s="57" t="str">
        <x:v>ItemProduct</x:v>
      </x:c>
      <x:c r="B13" s="57" t="str">
        <x:v>products</x:v>
      </x:c>
      <x:c r="C13" s="57" t="str">
        <x:v>ItemProductID</x:v>
      </x:c>
      <x:c r="D13" s="64" t="str">
        <x:v>Optional commercial wrapper around ItemID; may unlock a Plan or workshop.</x:v>
      </x:c>
      <x:c r="E13" s="64" t="str">
        <x:v>Unchanged current importer join.</x:v>
      </x:c>
    </x:row>
    <x:row r="14">
      <x:c r="A14" s="57" t="str">
        <x:v>ProductPrice</x:v>
      </x:c>
      <x:c r="B14" s="57" t="str">
        <x:v>productPrices and products.price</x:v>
      </x:c>
      <x:c r="C14" s="57" t="str">
        <x:v>PriceID</x:v>
      </x:c>
      <x:c r="D14" s="64" t="str">
        <x:v>Use one Active row per ItemProductID; preserve effective dates.</x:v>
      </x:c>
      <x:c r="E14" s="64" t="str">
        <x:v>Unchanged current importer join.</x:v>
      </x:c>
    </x:row>
    <x:row r="15">
      <x:c r="A15" s="57" t="str">
        <x:v>Inventory</x:v>
      </x:c>
      <x:c r="B15" s="57" t="str">
        <x:v>inventory and products.stock</x:v>
      </x:c>
      <x:c r="C15" s="57" t="str">
        <x:v>Inventory ID</x:v>
      </x:c>
      <x:c r="D15" s="64" t="str">
        <x:v>Aggregate Stock Qty by ItemProductID/variant as currently implemented.</x:v>
      </x:c>
      <x:c r="E15" s="64" t="str">
        <x:v>Unchanged current importer join.</x:v>
      </x:c>
    </x:row>
    <x:row r="16">
      <x:c r="A16" s="57" t="str">
        <x:v>ItemAsset → Asset</x:v>
      </x:c>
      <x:c r="B16" s="57" t="str">
        <x:v>itemAssets/assets and products.media</x:v>
      </x:c>
      <x:c r="C16" s="57" t="str">
        <x:v>ItemAssetID / AssetID</x:v>
      </x:c>
      <x:c r="D16" s="64" t="str">
        <x:v>Resolve ItemID to assets and collect image FileURL values.</x:v>
      </x:c>
      <x:c r="E16" s="64" t="str">
        <x:v>Unchanged current importer join.</x:v>
      </x:c>
    </x:row>
    <x:row r="17">
      <x:c r="A17" s="57" t="str">
        <x:v>Booleans</x:v>
      </x:c>
      <x:c r="B17" s="57" t="str">
        <x:v>boolean fields</x:v>
      </x:c>
      <x:c r="C17" s="57" t="str"/>
      <x:c r="D17" s="64" t="str">
        <x:v>Normalize Yes/No and TRUE/FALSE to true/false; blank remains unspecified.</x:v>
      </x:c>
      <x:c r="E17" s="64" t="str">
        <x:v>Do not coerce arbitrary text.</x:v>
      </x:c>
    </x:row>
    <x:row r="18">
      <x:c r="A18" s="57" t="str">
        <x:v>Status fields</x:v>
      </x:c>
      <x:c r="B18" s="57" t="str">
        <x:v>status/type strings</x:v>
      </x:c>
      <x:c r="C18" s="57" t="str"/>
      <x:c r="D18" s="64" t="str">
        <x:v>Trim and lowercase where the existing importer uses asStatus; preserve stable IDs unchanged.</x:v>
      </x:c>
      <x:c r="E18" s="64" t="str">
        <x:v>Existing behavior.</x:v>
      </x:c>
    </x:row>
  </x:sheetData>
  <x:pageMargins left="0.7" right="0.7" top="0.75" bottom="0.75" header="0.3" footer="0.3"/>
  <x:tableParts count="1">
    <x:tablePart xmlns:r="http://schemas.openxmlformats.org/officeDocument/2006/relationships" r:id="Rdb0867cf7fa14f9f"/>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22" hidden="0" customWidth="1"/>
    <x:col min="4" max="4" width="30" hidden="0" customWidth="1"/>
    <x:col min="5" max="5" width="18" hidden="0" customWidth="1"/>
    <x:col min="6" max="6" width="44" hidden="0" customWidth="1"/>
  </x:cols>
  <x:sheetData>
    <x:row r="1" ht="30" customHeight="1">
      <x:c r="A1" s="65" t="str">
        <x:v>Recovery Tools Master Database v5 — Data Quality</x:v>
      </x:c>
      <x:c r="B1" s="65"/>
      <x:c r="C1" s="65"/>
      <x:c r="D1" s="65"/>
      <x:c r="E1" s="65"/>
      <x:c r="F1" s="65"/>
    </x:row>
    <x:row r="3">
      <x:c r="A3" s="63" t="str">
        <x:v>Metric</x:v>
      </x:c>
      <x:c r="B3" s="63" t="str">
        <x:v>Count</x:v>
      </x:c>
    </x:row>
    <x:row r="4">
      <x:c r="A4" t="str">
        <x:v>Errors</x:v>
      </x:c>
      <x:c r="B4" t="n">
        <x:f>COUNTIF($B$12:$B$80,"Error")</x:f>
        <x:v>12</x:v>
      </x:c>
    </x:row>
    <x:row r="5">
      <x:c r="A5" t="str">
        <x:v>Warnings</x:v>
      </x:c>
      <x:c r="B5" t="n">
        <x:f>COUNTIF($B$12:$B$80,"Warning")</x:f>
        <x:v>57</x:v>
      </x:c>
    </x:row>
    <x:row r="6">
      <x:c r="A6" t="str">
        <x:v>Total issues</x:v>
      </x:c>
      <x:c r="B6" t="n">
        <x:f>B4+B5</x:f>
        <x:v>69</x:v>
      </x:c>
    </x:row>
    <x:row r="7">
      <x:c r="A7" t="str">
        <x:v>Generated from</x:v>
      </x:c>
      <x:c r="B7" t="str">
        <x:v>Recovery Tools Master Database (4).xlsx + Types.xlsx</x:v>
      </x:c>
    </x:row>
    <x:row r="9" ht="32" customHeight="1">
      <x:c r="A9" s="71" t="str">
        <x:v>Resolve Error rows before import. Warning rows identify incomplete legacy content that can remain while the prototype is being developed.</x:v>
      </x:c>
      <x:c r="B9" s="71"/>
      <x:c r="C9" s="71"/>
      <x:c r="D9" s="71"/>
      <x:c r="E9" s="71"/>
      <x:c r="F9" s="71"/>
    </x:row>
    <x:row r="11">
      <x:c r="A11" s="63" t="str">
        <x:v>IssueID</x:v>
      </x:c>
      <x:c r="B11" s="63" t="str">
        <x:v>Severity</x:v>
      </x:c>
      <x:c r="C11" s="63" t="str">
        <x:v>Sheet</x:v>
      </x:c>
      <x:c r="D11" s="63" t="str">
        <x:v>RecordID</x:v>
      </x:c>
      <x:c r="E11" s="63" t="str">
        <x:v>Field</x:v>
      </x:c>
      <x:c r="F11" s="63" t="str">
        <x:v>Message</x:v>
      </x:c>
    </x:row>
    <x:row r="12">
      <x:c r="A12" t="str">
        <x:v>DQ-0001</x:v>
      </x:c>
      <x:c r="B12" t="str">
        <x:v>Error</x:v>
      </x:c>
      <x:c r="C12" t="str">
        <x:v>BlueprintTagLinks</x:v>
      </x:c>
      <x:c r="D12" t="str">
        <x:v>BLTAG-014</x:v>
      </x:c>
      <x:c r="E12" t="str">
        <x:v>Relationship</x:v>
      </x:c>
      <x:c r="F12" s="72" t="str">
        <x:v>Invalid TagID</x:v>
      </x:c>
    </x:row>
    <x:row r="13">
      <x:c r="A13" t="str">
        <x:v>DQ-0002</x:v>
      </x:c>
      <x:c r="B13" t="str">
        <x:v>Error</x:v>
      </x:c>
      <x:c r="C13" t="str">
        <x:v>BlueprintTagLinks</x:v>
      </x:c>
      <x:c r="D13" t="str">
        <x:v>BLTAG-016</x:v>
      </x:c>
      <x:c r="E13" t="str">
        <x:v>Relationship</x:v>
      </x:c>
      <x:c r="F13" s="72" t="str">
        <x:v>Invalid TagID</x:v>
      </x:c>
    </x:row>
    <x:row r="14">
      <x:c r="A14" t="str">
        <x:v>DQ-0003</x:v>
      </x:c>
      <x:c r="B14" t="str">
        <x:v>Error</x:v>
      </x:c>
      <x:c r="C14" t="str">
        <x:v>BlueprintTagLinks</x:v>
      </x:c>
      <x:c r="D14" t="str">
        <x:v>BLTAG-017</x:v>
      </x:c>
      <x:c r="E14" t="str">
        <x:v>Relationship</x:v>
      </x:c>
      <x:c r="F14" s="72" t="str">
        <x:v>Invalid TagID</x:v>
      </x:c>
    </x:row>
    <x:row r="15">
      <x:c r="A15" t="str">
        <x:v>DQ-0004</x:v>
      </x:c>
      <x:c r="B15" t="str">
        <x:v>Error</x:v>
      </x:c>
      <x:c r="C15" t="str">
        <x:v>BlueprintTagLinks</x:v>
      </x:c>
      <x:c r="D15" t="str">
        <x:v>BLTAG-018</x:v>
      </x:c>
      <x:c r="E15" t="str">
        <x:v>Relationship</x:v>
      </x:c>
      <x:c r="F15" s="72" t="str">
        <x:v>Invalid TagID</x:v>
      </x:c>
    </x:row>
    <x:row r="16">
      <x:c r="A16" t="str">
        <x:v>DQ-0005</x:v>
      </x:c>
      <x:c r="B16" t="str">
        <x:v>Error</x:v>
      </x:c>
      <x:c r="C16" t="str">
        <x:v>BlueprintTagLinks</x:v>
      </x:c>
      <x:c r="D16" t="str">
        <x:v>BLTAG-019</x:v>
      </x:c>
      <x:c r="E16" t="str">
        <x:v>Relationship</x:v>
      </x:c>
      <x:c r="F16" s="72" t="str">
        <x:v>Invalid TagID</x:v>
      </x:c>
    </x:row>
    <x:row r="17">
      <x:c r="A17" t="str">
        <x:v>DQ-0006</x:v>
      </x:c>
      <x:c r="B17" t="str">
        <x:v>Error</x:v>
      </x:c>
      <x:c r="C17" t="str">
        <x:v>BlueprintTagLinks</x:v>
      </x:c>
      <x:c r="D17" t="str">
        <x:v>BLTAG-021</x:v>
      </x:c>
      <x:c r="E17" t="str">
        <x:v>Relationship</x:v>
      </x:c>
      <x:c r="F17" s="72" t="str">
        <x:v>Invalid TagID</x:v>
      </x:c>
    </x:row>
    <x:row r="18">
      <x:c r="A18" t="str">
        <x:v>DQ-0007</x:v>
      </x:c>
      <x:c r="B18" t="str">
        <x:v>Error</x:v>
      </x:c>
      <x:c r="C18" t="str">
        <x:v>BlueprintTagLinks</x:v>
      </x:c>
      <x:c r="D18" t="str">
        <x:v>BLTAG-027</x:v>
      </x:c>
      <x:c r="E18" t="str">
        <x:v>Relationship</x:v>
      </x:c>
      <x:c r="F18" s="72" t="str">
        <x:v>Invalid TagID</x:v>
      </x:c>
    </x:row>
    <x:row r="19">
      <x:c r="A19" t="str">
        <x:v>DQ-0008</x:v>
      </x:c>
      <x:c r="B19" t="str">
        <x:v>Error</x:v>
      </x:c>
      <x:c r="C19" t="str">
        <x:v>BlueprintTagLinks</x:v>
      </x:c>
      <x:c r="D19" t="str">
        <x:v>BLTAG-025</x:v>
      </x:c>
      <x:c r="E19" t="str">
        <x:v>Relationship</x:v>
      </x:c>
      <x:c r="F19" s="72" t="str">
        <x:v>Invalid TagID</x:v>
      </x:c>
    </x:row>
    <x:row r="20">
      <x:c r="A20" t="str">
        <x:v>DQ-0009</x:v>
      </x:c>
      <x:c r="B20" t="str">
        <x:v>Error</x:v>
      </x:c>
      <x:c r="C20" t="str">
        <x:v>BlueprintTagLinks</x:v>
      </x:c>
      <x:c r="D20" t="str">
        <x:v>BLTAG-026</x:v>
      </x:c>
      <x:c r="E20" t="str">
        <x:v>Relationship</x:v>
      </x:c>
      <x:c r="F20" s="72" t="str">
        <x:v>Invalid TagID</x:v>
      </x:c>
    </x:row>
    <x:row r="21">
      <x:c r="A21" t="str">
        <x:v>DQ-0010</x:v>
      </x:c>
      <x:c r="B21" t="str">
        <x:v>Error</x:v>
      </x:c>
      <x:c r="C21" t="str">
        <x:v>BlueprintTagLinks</x:v>
      </x:c>
      <x:c r="D21" t="str">
        <x:v>BLTAG-023</x:v>
      </x:c>
      <x:c r="E21" t="str">
        <x:v>Relationship</x:v>
      </x:c>
      <x:c r="F21" s="72" t="str">
        <x:v>Invalid TagID</x:v>
      </x:c>
    </x:row>
    <x:row r="22">
      <x:c r="A22" t="str">
        <x:v>DQ-0011</x:v>
      </x:c>
      <x:c r="B22" t="str">
        <x:v>Error</x:v>
      </x:c>
      <x:c r="C22" t="str">
        <x:v>BlueprintTagLinks</x:v>
      </x:c>
      <x:c r="D22" t="str">
        <x:v>BLTAG-024</x:v>
      </x:c>
      <x:c r="E22" t="str">
        <x:v>Relationship</x:v>
      </x:c>
      <x:c r="F22" s="72" t="str">
        <x:v>Invalid TagID</x:v>
      </x:c>
    </x:row>
    <x:row r="23">
      <x:c r="A23" t="str">
        <x:v>DQ-0012</x:v>
      </x:c>
      <x:c r="B23" t="str">
        <x:v>Error</x:v>
      </x:c>
      <x:c r="C23" t="str">
        <x:v>BlueprintTagLinks</x:v>
      </x:c>
      <x:c r="D23" t="str">
        <x:v>BLTAG-028</x:v>
      </x:c>
      <x:c r="E23" t="str">
        <x:v>Relationship</x:v>
      </x:c>
      <x:c r="F23" s="72" t="str">
        <x:v>Invalid TagID</x:v>
      </x:c>
    </x:row>
    <x:row r="24">
      <x:c r="A24" t="str">
        <x:v>DQ-0013</x:v>
      </x:c>
      <x:c r="B24" t="str">
        <x:v>Warning</x:v>
      </x:c>
      <x:c r="C24" t="str">
        <x:v>Blueprint Items</x:v>
      </x:c>
      <x:c r="D24" t="str">
        <x:v>BLUE-BUS-009-001</x:v>
      </x:c>
      <x:c r="E24" t="str">
        <x:v>Relationship</x:v>
      </x:c>
      <x:c r="F24" s="72" t="str">
        <x:v>Unresolved name-only item</x:v>
      </x:c>
    </x:row>
    <x:row r="25">
      <x:c r="A25" t="str">
        <x:v>DQ-0014</x:v>
      </x:c>
      <x:c r="B25" t="str">
        <x:v>Warning</x:v>
      </x:c>
      <x:c r="C25" t="str">
        <x:v>Blueprint Items</x:v>
      </x:c>
      <x:c r="D25" t="str">
        <x:v>BLUE-BUS-009-002</x:v>
      </x:c>
      <x:c r="E25" t="str">
        <x:v>Relationship</x:v>
      </x:c>
      <x:c r="F25" s="72" t="str">
        <x:v>Unresolved name-only item</x:v>
      </x:c>
    </x:row>
    <x:row r="26">
      <x:c r="A26" t="str">
        <x:v>DQ-0015</x:v>
      </x:c>
      <x:c r="B26" t="str">
        <x:v>Warning</x:v>
      </x:c>
      <x:c r="C26" t="str">
        <x:v>Blueprint Items</x:v>
      </x:c>
      <x:c r="D26" t="str">
        <x:v>BLUE-BUS-009-003</x:v>
      </x:c>
      <x:c r="E26" t="str">
        <x:v>Relationship</x:v>
      </x:c>
      <x:c r="F26" s="72" t="str">
        <x:v>Unresolved name-only item</x:v>
      </x:c>
    </x:row>
    <x:row r="27">
      <x:c r="A27" t="str">
        <x:v>DQ-0016</x:v>
      </x:c>
      <x:c r="B27" t="str">
        <x:v>Warning</x:v>
      </x:c>
      <x:c r="C27" t="str">
        <x:v>Blueprint Items</x:v>
      </x:c>
      <x:c r="D27" t="str">
        <x:v>BLUE-BUS-009-004</x:v>
      </x:c>
      <x:c r="E27" t="str">
        <x:v>Relationship</x:v>
      </x:c>
      <x:c r="F27" s="72" t="str">
        <x:v>Unresolved name-only item</x:v>
      </x:c>
    </x:row>
    <x:row r="28">
      <x:c r="A28" t="str">
        <x:v>DQ-0017</x:v>
      </x:c>
      <x:c r="B28" t="str">
        <x:v>Warning</x:v>
      </x:c>
      <x:c r="C28" t="str">
        <x:v>Blueprint Items</x:v>
      </x:c>
      <x:c r="D28" t="str">
        <x:v>BLUE-BUS-009-005</x:v>
      </x:c>
      <x:c r="E28" t="str">
        <x:v>Relationship</x:v>
      </x:c>
      <x:c r="F28" s="72" t="str">
        <x:v>Unresolved name-only item</x:v>
      </x:c>
    </x:row>
    <x:row r="29">
      <x:c r="A29" t="str">
        <x:v>DQ-0018</x:v>
      </x:c>
      <x:c r="B29" t="str">
        <x:v>Warning</x:v>
      </x:c>
      <x:c r="C29" t="str">
        <x:v>Blueprint Items</x:v>
      </x:c>
      <x:c r="D29" t="str">
        <x:v>BLUE-BUS-009-006</x:v>
      </x:c>
      <x:c r="E29" t="str">
        <x:v>Relationship</x:v>
      </x:c>
      <x:c r="F29" s="72" t="str">
        <x:v>Unresolved name-only item</x:v>
      </x:c>
    </x:row>
    <x:row r="30">
      <x:c r="A30" t="str">
        <x:v>DQ-0019</x:v>
      </x:c>
      <x:c r="B30" t="str">
        <x:v>Warning</x:v>
      </x:c>
      <x:c r="C30" t="str">
        <x:v>Blueprint Items</x:v>
      </x:c>
      <x:c r="D30" t="str">
        <x:v>BLUE-BUS-009-007</x:v>
      </x:c>
      <x:c r="E30" t="str">
        <x:v>Relationship</x:v>
      </x:c>
      <x:c r="F30" s="72" t="str">
        <x:v>Unresolved name-only item</x:v>
      </x:c>
    </x:row>
    <x:row r="31">
      <x:c r="A31" t="str">
        <x:v>DQ-0020</x:v>
      </x:c>
      <x:c r="B31" t="str">
        <x:v>Warning</x:v>
      </x:c>
      <x:c r="C31" t="str">
        <x:v>Blueprint Items</x:v>
      </x:c>
      <x:c r="D31" t="str">
        <x:v>BLUE-BUS-009-008</x:v>
      </x:c>
      <x:c r="E31" t="str">
        <x:v>Relationship</x:v>
      </x:c>
      <x:c r="F31" s="72" t="str">
        <x:v>Unresolved name-only item</x:v>
      </x:c>
    </x:row>
    <x:row r="32">
      <x:c r="A32" t="str">
        <x:v>DQ-0021</x:v>
      </x:c>
      <x:c r="B32" t="str">
        <x:v>Warning</x:v>
      </x:c>
      <x:c r="C32" t="str">
        <x:v>Blueprint Items</x:v>
      </x:c>
      <x:c r="D32" t="str">
        <x:v>BLUE-BUS-009-009</x:v>
      </x:c>
      <x:c r="E32" t="str">
        <x:v>Relationship</x:v>
      </x:c>
      <x:c r="F32" s="72" t="str">
        <x:v>Unresolved name-only item</x:v>
      </x:c>
    </x:row>
    <x:row r="33">
      <x:c r="A33" t="str">
        <x:v>DQ-0022</x:v>
      </x:c>
      <x:c r="B33" t="str">
        <x:v>Warning</x:v>
      </x:c>
      <x:c r="C33" t="str">
        <x:v>Blueprint Items</x:v>
      </x:c>
      <x:c r="D33" t="str">
        <x:v>BLUE-BUS-009-010</x:v>
      </x:c>
      <x:c r="E33" t="str">
        <x:v>Relationship</x:v>
      </x:c>
      <x:c r="F33" s="72" t="str">
        <x:v>Unresolved name-only item</x:v>
      </x:c>
    </x:row>
    <x:row r="34">
      <x:c r="A34" t="str">
        <x:v>DQ-0023</x:v>
      </x:c>
      <x:c r="B34" t="str">
        <x:v>Warning</x:v>
      </x:c>
      <x:c r="C34" t="str">
        <x:v>Blueprint Items</x:v>
      </x:c>
      <x:c r="D34" t="str">
        <x:v>BLUE-BUS-009-011</x:v>
      </x:c>
      <x:c r="E34" t="str">
        <x:v>Relationship</x:v>
      </x:c>
      <x:c r="F34" s="72" t="str">
        <x:v>Unresolved name-only item</x:v>
      </x:c>
    </x:row>
    <x:row r="35">
      <x:c r="A35" t="str">
        <x:v>DQ-0024</x:v>
      </x:c>
      <x:c r="B35" t="str">
        <x:v>Warning</x:v>
      </x:c>
      <x:c r="C35" t="str">
        <x:v>Plan Items</x:v>
      </x:c>
      <x:c r="D35" t="str">
        <x:v>PLAN-ITEM-COURSE-TB-001</x:v>
      </x:c>
      <x:c r="E35" t="str">
        <x:v>Component</x:v>
      </x:c>
      <x:c r="F35" s="72" t="str">
        <x:v>Missing component</x:v>
      </x:c>
    </x:row>
    <x:row r="36">
      <x:c r="A36" t="str">
        <x:v>DQ-0025</x:v>
      </x:c>
      <x:c r="B36" t="str">
        <x:v>Warning</x:v>
      </x:c>
      <x:c r="C36" t="str">
        <x:v>Plan Items</x:v>
      </x:c>
      <x:c r="D36" t="str">
        <x:v>PLAN-ITEM-COURSE-TB-002</x:v>
      </x:c>
      <x:c r="E36" t="str">
        <x:v>Component</x:v>
      </x:c>
      <x:c r="F36" s="72" t="str">
        <x:v>Missing component</x:v>
      </x:c>
    </x:row>
    <x:row r="37">
      <x:c r="A37" t="str">
        <x:v>DQ-0026</x:v>
      </x:c>
      <x:c r="B37" t="str">
        <x:v>Warning</x:v>
      </x:c>
      <x:c r="C37" t="str">
        <x:v>Plan Items</x:v>
      </x:c>
      <x:c r="D37" t="str">
        <x:v>PLAN-ITEM-REASS-NEURO-001</x:v>
      </x:c>
      <x:c r="E37" t="str">
        <x:v>Component</x:v>
      </x:c>
      <x:c r="F37" s="72" t="str">
        <x:v>Invalid PlanID</x:v>
      </x:c>
    </x:row>
    <x:row r="38">
      <x:c r="A38" t="str">
        <x:v>DQ-0027</x:v>
      </x:c>
      <x:c r="B38" t="str">
        <x:v>Warning</x:v>
      </x:c>
      <x:c r="C38" t="str">
        <x:v>Plan Items</x:v>
      </x:c>
      <x:c r="D38" t="str">
        <x:v>PLAN-ITEM-REASS-NEURO-002</x:v>
      </x:c>
      <x:c r="E38" t="str">
        <x:v>Component</x:v>
      </x:c>
      <x:c r="F38" s="72" t="str">
        <x:v>Invalid PlanID</x:v>
      </x:c>
    </x:row>
    <x:row r="39">
      <x:c r="A39" t="str">
        <x:v>DQ-0028</x:v>
      </x:c>
      <x:c r="B39" t="str">
        <x:v>Warning</x:v>
      </x:c>
      <x:c r="C39" t="str">
        <x:v>Plan Items</x:v>
      </x:c>
      <x:c r="D39" t="str">
        <x:v>PLAN-ITEM-REASS-NEURO-003</x:v>
      </x:c>
      <x:c r="E39" t="str">
        <x:v>Component</x:v>
      </x:c>
      <x:c r="F39" s="72" t="str">
        <x:v>Invalid PlanID</x:v>
      </x:c>
    </x:row>
    <x:row r="40">
      <x:c r="A40" t="str">
        <x:v>DQ-0029</x:v>
      </x:c>
      <x:c r="B40" t="str">
        <x:v>Warning</x:v>
      </x:c>
      <x:c r="C40" t="str">
        <x:v>Plan Items</x:v>
      </x:c>
      <x:c r="D40" t="str">
        <x:v>PLAN-ITEM-REASS-NEURO-004</x:v>
      </x:c>
      <x:c r="E40" t="str">
        <x:v>Component</x:v>
      </x:c>
      <x:c r="F40" s="72" t="str">
        <x:v>Invalid PlanID</x:v>
      </x:c>
    </x:row>
    <x:row r="41">
      <x:c r="A41" t="str">
        <x:v>DQ-0030</x:v>
      </x:c>
      <x:c r="B41" t="str">
        <x:v>Warning</x:v>
      </x:c>
      <x:c r="C41" t="str">
        <x:v>Plan Items</x:v>
      </x:c>
      <x:c r="D41" t="str">
        <x:v>PLAN-ITEM-REASS-NEURO-005</x:v>
      </x:c>
      <x:c r="E41" t="str">
        <x:v>Component</x:v>
      </x:c>
      <x:c r="F41" s="72" t="str">
        <x:v>Invalid PlanID</x:v>
      </x:c>
    </x:row>
    <x:row r="42">
      <x:c r="A42" t="str">
        <x:v>DQ-0031</x:v>
      </x:c>
      <x:c r="B42" t="str">
        <x:v>Warning</x:v>
      </x:c>
      <x:c r="C42" t="str">
        <x:v>Plan Items</x:v>
      </x:c>
      <x:c r="D42" t="str">
        <x:v>PLAN-ITEM-REASS-NEURO-LX-001</x:v>
      </x:c>
      <x:c r="E42" t="str">
        <x:v>Component</x:v>
      </x:c>
      <x:c r="F42" s="72" t="str">
        <x:v>Invalid PlanID</x:v>
      </x:c>
    </x:row>
    <x:row r="43">
      <x:c r="A43" t="str">
        <x:v>DQ-0032</x:v>
      </x:c>
      <x:c r="B43" t="str">
        <x:v>Warning</x:v>
      </x:c>
      <x:c r="C43" t="str">
        <x:v>Plan Items</x:v>
      </x:c>
      <x:c r="D43" t="str">
        <x:v>PLAN-ITEM-REASS-NEURO-LX-002</x:v>
      </x:c>
      <x:c r="E43" t="str">
        <x:v>Component</x:v>
      </x:c>
      <x:c r="F43" s="72" t="str">
        <x:v>Invalid PlanID</x:v>
      </x:c>
    </x:row>
    <x:row r="44">
      <x:c r="A44" t="str">
        <x:v>DQ-0033</x:v>
      </x:c>
      <x:c r="B44" t="str">
        <x:v>Warning</x:v>
      </x:c>
      <x:c r="C44" t="str">
        <x:v>Plan Items</x:v>
      </x:c>
      <x:c r="D44" t="str">
        <x:v>PLAN-ITEM-REASS-NEURO-LX-003</x:v>
      </x:c>
      <x:c r="E44" t="str">
        <x:v>Component</x:v>
      </x:c>
      <x:c r="F44" s="72" t="str">
        <x:v>Invalid PlanID</x:v>
      </x:c>
    </x:row>
    <x:row r="45">
      <x:c r="A45" t="str">
        <x:v>DQ-0034</x:v>
      </x:c>
      <x:c r="B45" t="str">
        <x:v>Warning</x:v>
      </x:c>
      <x:c r="C45" t="str">
        <x:v>Plan Items</x:v>
      </x:c>
      <x:c r="D45" t="str">
        <x:v>PLAN-ITEM-REASS-NEURO-LX-004</x:v>
      </x:c>
      <x:c r="E45" t="str">
        <x:v>Component</x:v>
      </x:c>
      <x:c r="F45" s="72" t="str">
        <x:v>Invalid PlanID</x:v>
      </x:c>
    </x:row>
    <x:row r="46">
      <x:c r="A46" t="str">
        <x:v>DQ-0035</x:v>
      </x:c>
      <x:c r="B46" t="str">
        <x:v>Warning</x:v>
      </x:c>
      <x:c r="C46" t="str">
        <x:v>Plan Items</x:v>
      </x:c>
      <x:c r="D46" t="str">
        <x:v>PLAN-ITEM-REASS-NEURO-LX-005</x:v>
      </x:c>
      <x:c r="E46" t="str">
        <x:v>Component</x:v>
      </x:c>
      <x:c r="F46" s="72" t="str">
        <x:v>Invalid PlanID</x:v>
      </x:c>
    </x:row>
    <x:row r="47">
      <x:c r="A47" t="str">
        <x:v>DQ-0036</x:v>
      </x:c>
      <x:c r="B47" t="str">
        <x:v>Warning</x:v>
      </x:c>
      <x:c r="C47" t="str">
        <x:v>Plan Items</x:v>
      </x:c>
      <x:c r="D47" t="str">
        <x:v>PLAN-ITEM-REASS-HEADACHE-001-01</x:v>
      </x:c>
      <x:c r="E47" t="str">
        <x:v>Component</x:v>
      </x:c>
      <x:c r="F47" s="72" t="str">
        <x:v>Invalid PlanID</x:v>
      </x:c>
    </x:row>
    <x:row r="48">
      <x:c r="A48" t="str">
        <x:v>DQ-0037</x:v>
      </x:c>
      <x:c r="B48" t="str">
        <x:v>Warning</x:v>
      </x:c>
      <x:c r="C48" t="str">
        <x:v>Plan Items</x:v>
      </x:c>
      <x:c r="D48" t="str">
        <x:v>PLAN-ITEM-REASS-HEADACHE-001-02</x:v>
      </x:c>
      <x:c r="E48" t="str">
        <x:v>Component</x:v>
      </x:c>
      <x:c r="F48" s="72" t="str">
        <x:v>Invalid PlanID</x:v>
      </x:c>
    </x:row>
    <x:row r="49">
      <x:c r="A49" t="str">
        <x:v>DQ-0038</x:v>
      </x:c>
      <x:c r="B49" t="str">
        <x:v>Warning</x:v>
      </x:c>
      <x:c r="C49" t="str">
        <x:v>Plan Items</x:v>
      </x:c>
      <x:c r="D49" t="str">
        <x:v>PLAN-ITEM-REASS-HEADACHE-001-03</x:v>
      </x:c>
      <x:c r="E49" t="str">
        <x:v>Component</x:v>
      </x:c>
      <x:c r="F49" s="72" t="str">
        <x:v>Invalid PlanID</x:v>
      </x:c>
    </x:row>
    <x:row r="50">
      <x:c r="A50" t="str">
        <x:v>DQ-0039</x:v>
      </x:c>
      <x:c r="B50" t="str">
        <x:v>Warning</x:v>
      </x:c>
      <x:c r="C50" t="str">
        <x:v>Plan Items</x:v>
      </x:c>
      <x:c r="D50" t="str">
        <x:v>PLAN-ITEM-REASS-HEADACHE-001-04</x:v>
      </x:c>
      <x:c r="E50" t="str">
        <x:v>Component</x:v>
      </x:c>
      <x:c r="F50" s="72" t="str">
        <x:v>Invalid PlanID</x:v>
      </x:c>
    </x:row>
    <x:row r="51">
      <x:c r="A51" t="str">
        <x:v>DQ-0040</x:v>
      </x:c>
      <x:c r="B51" t="str">
        <x:v>Warning</x:v>
      </x:c>
      <x:c r="C51" t="str">
        <x:v>Items</x:v>
      </x:c>
      <x:c r="D51" t="str">
        <x:v>ITEM-BUS-001</x:v>
      </x:c>
      <x:c r="E51" t="str">
        <x:v>Type/Category</x:v>
      </x:c>
      <x:c r="F51" s="72" t="str">
        <x:v>Review TypeID</x:v>
      </x:c>
    </x:row>
    <x:row r="52">
      <x:c r="A52" t="str">
        <x:v>DQ-0041</x:v>
      </x:c>
      <x:c r="B52" t="str">
        <x:v>Warning</x:v>
      </x:c>
      <x:c r="C52" t="str">
        <x:v>Items</x:v>
      </x:c>
      <x:c r="D52" t="str">
        <x:v>ITEM-PHOTO-001</x:v>
      </x:c>
      <x:c r="E52" t="str">
        <x:v>Type/Category</x:v>
      </x:c>
      <x:c r="F52" s="72" t="str">
        <x:v>Review TypeID</x:v>
      </x:c>
    </x:row>
    <x:row r="53">
      <x:c r="A53" t="str">
        <x:v>DQ-0042</x:v>
      </x:c>
      <x:c r="B53" t="str">
        <x:v>Warning</x:v>
      </x:c>
      <x:c r="C53" t="str">
        <x:v>Items</x:v>
      </x:c>
      <x:c r="D53" t="str">
        <x:v>ITEM-PHOTO-002</x:v>
      </x:c>
      <x:c r="E53" t="str">
        <x:v>Type/Category</x:v>
      </x:c>
      <x:c r="F53" s="72" t="str">
        <x:v>Review TypeID</x:v>
      </x:c>
    </x:row>
    <x:row r="54">
      <x:c r="A54" t="str">
        <x:v>DQ-0043</x:v>
      </x:c>
      <x:c r="B54" t="str">
        <x:v>Warning</x:v>
      </x:c>
      <x:c r="C54" t="str">
        <x:v>Items</x:v>
      </x:c>
      <x:c r="D54" t="str">
        <x:v>ITEM-PHOTO-003</x:v>
      </x:c>
      <x:c r="E54" t="str">
        <x:v>Type/Category</x:v>
      </x:c>
      <x:c r="F54" s="72" t="str">
        <x:v>Review TypeID</x:v>
      </x:c>
    </x:row>
    <x:row r="55">
      <x:c r="A55" t="str">
        <x:v>DQ-0044</x:v>
      </x:c>
      <x:c r="B55" t="str">
        <x:v>Warning</x:v>
      </x:c>
      <x:c r="C55" t="str">
        <x:v>Items</x:v>
      </x:c>
      <x:c r="D55" t="str">
        <x:v>ITEM-PHOTO-004</x:v>
      </x:c>
      <x:c r="E55" t="str">
        <x:v>Type/Category</x:v>
      </x:c>
      <x:c r="F55" s="72" t="str">
        <x:v>Review TypeID</x:v>
      </x:c>
    </x:row>
    <x:row r="56">
      <x:c r="A56" t="str">
        <x:v>DQ-0045</x:v>
      </x:c>
      <x:c r="B56" t="str">
        <x:v>Warning</x:v>
      </x:c>
      <x:c r="C56" t="str">
        <x:v>Items</x:v>
      </x:c>
      <x:c r="D56" t="str">
        <x:v>ITEM-PHOTO-005</x:v>
      </x:c>
      <x:c r="E56" t="str">
        <x:v>Type/Category</x:v>
      </x:c>
      <x:c r="F56" s="72" t="str">
        <x:v>Review TypeID</x:v>
      </x:c>
    </x:row>
    <x:row r="57">
      <x:c r="A57" t="str">
        <x:v>DQ-0046</x:v>
      </x:c>
      <x:c r="B57" t="str">
        <x:v>Warning</x:v>
      </x:c>
      <x:c r="C57" t="str">
        <x:v>Items</x:v>
      </x:c>
      <x:c r="D57" t="str">
        <x:v>ITEM-PHOTO-006</x:v>
      </x:c>
      <x:c r="E57" t="str">
        <x:v>Type/Category</x:v>
      </x:c>
      <x:c r="F57" s="72" t="str">
        <x:v>Review TypeID</x:v>
      </x:c>
    </x:row>
    <x:row r="58">
      <x:c r="A58" t="str">
        <x:v>DQ-0047</x:v>
      </x:c>
      <x:c r="B58" t="str">
        <x:v>Warning</x:v>
      </x:c>
      <x:c r="C58" t="str">
        <x:v>Items</x:v>
      </x:c>
      <x:c r="D58" t="str">
        <x:v>ITEM-PHOTO-007</x:v>
      </x:c>
      <x:c r="E58" t="str">
        <x:v>Type/Category</x:v>
      </x:c>
      <x:c r="F58" s="72" t="str">
        <x:v>Review TypeID</x:v>
      </x:c>
    </x:row>
    <x:row r="59">
      <x:c r="A59" t="str">
        <x:v>DQ-0048</x:v>
      </x:c>
      <x:c r="B59" t="str">
        <x:v>Warning</x:v>
      </x:c>
      <x:c r="C59" t="str">
        <x:v>Items</x:v>
      </x:c>
      <x:c r="D59" t="str">
        <x:v>ITEM-PHOTO-008</x:v>
      </x:c>
      <x:c r="E59" t="str">
        <x:v>Type/Category</x:v>
      </x:c>
      <x:c r="F59" s="72" t="str">
        <x:v>Review TypeID</x:v>
      </x:c>
    </x:row>
    <x:row r="60">
      <x:c r="A60" t="str">
        <x:v>DQ-0049</x:v>
      </x:c>
      <x:c r="B60" t="str">
        <x:v>Warning</x:v>
      </x:c>
      <x:c r="C60" t="str">
        <x:v>Items</x:v>
      </x:c>
      <x:c r="D60" t="str">
        <x:v>ITEM-PHOTO-009</x:v>
      </x:c>
      <x:c r="E60" t="str">
        <x:v>Type/Category</x:v>
      </x:c>
      <x:c r="F60" s="72" t="str">
        <x:v>Review TypeID</x:v>
      </x:c>
    </x:row>
    <x:row r="61">
      <x:c r="A61" t="str">
        <x:v>DQ-0050</x:v>
      </x:c>
      <x:c r="B61" t="str">
        <x:v>Warning</x:v>
      </x:c>
      <x:c r="C61" t="str">
        <x:v>Items</x:v>
      </x:c>
      <x:c r="D61" t="str">
        <x:v>ITEM-PHOTO-010</x:v>
      </x:c>
      <x:c r="E61" t="str">
        <x:v>Type/Category</x:v>
      </x:c>
      <x:c r="F61" s="72" t="str">
        <x:v>Review TypeID</x:v>
      </x:c>
    </x:row>
    <x:row r="62">
      <x:c r="A62" t="str">
        <x:v>DQ-0051</x:v>
      </x:c>
      <x:c r="B62" t="str">
        <x:v>Warning</x:v>
      </x:c>
      <x:c r="C62" t="str">
        <x:v>Blueprints</x:v>
      </x:c>
      <x:c r="D62" t="str">
        <x:v>BLUE-BUS-001</x:v>
      </x:c>
      <x:c r="E62" t="str">
        <x:v>Type/Category</x:v>
      </x:c>
      <x:c r="F62" s="72" t="str">
        <x:v>Review TypeID</x:v>
      </x:c>
    </x:row>
    <x:row r="63">
      <x:c r="A63" t="str">
        <x:v>DQ-0052</x:v>
      </x:c>
      <x:c r="B63" t="str">
        <x:v>Warning</x:v>
      </x:c>
      <x:c r="C63" t="str">
        <x:v>Blueprints</x:v>
      </x:c>
      <x:c r="D63" t="str">
        <x:v>BLUE-BUS-002</x:v>
      </x:c>
      <x:c r="E63" t="str">
        <x:v>Type/Category</x:v>
      </x:c>
      <x:c r="F63" s="72" t="str">
        <x:v>Review TypeID</x:v>
      </x:c>
    </x:row>
    <x:row r="64">
      <x:c r="A64" t="str">
        <x:v>DQ-0053</x:v>
      </x:c>
      <x:c r="B64" t="str">
        <x:v>Warning</x:v>
      </x:c>
      <x:c r="C64" t="str">
        <x:v>Blueprints</x:v>
      </x:c>
      <x:c r="D64" t="str">
        <x:v>BLUE-BUS-003</x:v>
      </x:c>
      <x:c r="E64" t="str">
        <x:v>Type/Category</x:v>
      </x:c>
      <x:c r="F64" s="72" t="str">
        <x:v>Review TypeID</x:v>
      </x:c>
    </x:row>
    <x:row r="65">
      <x:c r="A65" t="str">
        <x:v>DQ-0054</x:v>
      </x:c>
      <x:c r="B65" t="str">
        <x:v>Warning</x:v>
      </x:c>
      <x:c r="C65" t="str">
        <x:v>Blueprints</x:v>
      </x:c>
      <x:c r="D65" t="str">
        <x:v>BLUE-BUS-004</x:v>
      </x:c>
      <x:c r="E65" t="str">
        <x:v>Type/Category</x:v>
      </x:c>
      <x:c r="F65" s="72" t="str">
        <x:v>Review TypeID</x:v>
      </x:c>
    </x:row>
    <x:row r="66">
      <x:c r="A66" t="str">
        <x:v>DQ-0055</x:v>
      </x:c>
      <x:c r="B66" t="str">
        <x:v>Warning</x:v>
      </x:c>
      <x:c r="C66" t="str">
        <x:v>Blueprints</x:v>
      </x:c>
      <x:c r="D66" t="str">
        <x:v>BLUE-BUS-005</x:v>
      </x:c>
      <x:c r="E66" t="str">
        <x:v>Type/Category</x:v>
      </x:c>
      <x:c r="F66" s="72" t="str">
        <x:v>Review TypeID</x:v>
      </x:c>
    </x:row>
    <x:row r="67">
      <x:c r="A67" t="str">
        <x:v>DQ-0056</x:v>
      </x:c>
      <x:c r="B67" t="str">
        <x:v>Warning</x:v>
      </x:c>
      <x:c r="C67" t="str">
        <x:v>Blueprints</x:v>
      </x:c>
      <x:c r="D67" t="str">
        <x:v>BLUE-BUS-006</x:v>
      </x:c>
      <x:c r="E67" t="str">
        <x:v>Type/Category</x:v>
      </x:c>
      <x:c r="F67" s="72" t="str">
        <x:v>Review TypeID</x:v>
      </x:c>
    </x:row>
    <x:row r="68">
      <x:c r="A68" t="str">
        <x:v>DQ-0057</x:v>
      </x:c>
      <x:c r="B68" t="str">
        <x:v>Warning</x:v>
      </x:c>
      <x:c r="C68" t="str">
        <x:v>Blueprints</x:v>
      </x:c>
      <x:c r="D68" t="str">
        <x:v>BLUE-BUS-007</x:v>
      </x:c>
      <x:c r="E68" t="str">
        <x:v>Type/Category</x:v>
      </x:c>
      <x:c r="F68" s="72" t="str">
        <x:v>Review TypeID</x:v>
      </x:c>
    </x:row>
    <x:row r="69">
      <x:c r="A69" t="str">
        <x:v>DQ-0058</x:v>
      </x:c>
      <x:c r="B69" t="str">
        <x:v>Warning</x:v>
      </x:c>
      <x:c r="C69" t="str">
        <x:v>Blueprints</x:v>
      </x:c>
      <x:c r="D69" t="str">
        <x:v>BLUE-BUS-008</x:v>
      </x:c>
      <x:c r="E69" t="str">
        <x:v>Type/Category</x:v>
      </x:c>
      <x:c r="F69" s="72" t="str">
        <x:v>Review TypeID</x:v>
      </x:c>
    </x:row>
    <x:row r="70">
      <x:c r="A70" t="str">
        <x:v>DQ-0059</x:v>
      </x:c>
      <x:c r="B70" t="str">
        <x:v>Warning</x:v>
      </x:c>
      <x:c r="C70" t="str">
        <x:v>Blueprints</x:v>
      </x:c>
      <x:c r="D70" t="str">
        <x:v>BLUE-BUS-009</x:v>
      </x:c>
      <x:c r="E70" t="str">
        <x:v>Type/Category</x:v>
      </x:c>
      <x:c r="F70" s="72" t="str">
        <x:v>Review TypeID</x:v>
      </x:c>
    </x:row>
    <x:row r="71">
      <x:c r="A71" t="str">
        <x:v>DQ-0060</x:v>
      </x:c>
      <x:c r="B71" t="str">
        <x:v>Warning</x:v>
      </x:c>
      <x:c r="C71" t="str">
        <x:v>Blueprints</x:v>
      </x:c>
      <x:c r="D71" t="str">
        <x:v>BLUE-BUS-010</x:v>
      </x:c>
      <x:c r="E71" t="str">
        <x:v>Type/Category</x:v>
      </x:c>
      <x:c r="F71" s="72" t="str">
        <x:v>Review TypeID</x:v>
      </x:c>
    </x:row>
    <x:row r="72">
      <x:c r="A72" t="str">
        <x:v>DQ-0061</x:v>
      </x:c>
      <x:c r="B72" t="str">
        <x:v>Warning</x:v>
      </x:c>
      <x:c r="C72" t="str">
        <x:v>Blueprints</x:v>
      </x:c>
      <x:c r="D72" t="str">
        <x:v>BLUE-BUS-011</x:v>
      </x:c>
      <x:c r="E72" t="str">
        <x:v>Type/Category</x:v>
      </x:c>
      <x:c r="F72" s="72" t="str">
        <x:v>Review TypeID</x:v>
      </x:c>
    </x:row>
    <x:row r="73">
      <x:c r="A73" t="str">
        <x:v>DQ-0062</x:v>
      </x:c>
      <x:c r="B73" t="str">
        <x:v>Warning</x:v>
      </x:c>
      <x:c r="C73" t="str">
        <x:v>Blueprints</x:v>
      </x:c>
      <x:c r="D73" t="str">
        <x:v>BLUE-BUS-012</x:v>
      </x:c>
      <x:c r="E73" t="str">
        <x:v>Type/Category</x:v>
      </x:c>
      <x:c r="F73" s="72" t="str">
        <x:v>Review TypeID</x:v>
      </x:c>
    </x:row>
    <x:row r="74">
      <x:c r="A74" t="str">
        <x:v>DQ-0063</x:v>
      </x:c>
      <x:c r="B74" t="str">
        <x:v>Warning</x:v>
      </x:c>
      <x:c r="C74" t="str">
        <x:v>Blueprints</x:v>
      </x:c>
      <x:c r="D74" t="str">
        <x:v>BLUE-BUS-013</x:v>
      </x:c>
      <x:c r="E74" t="str">
        <x:v>Type/Category</x:v>
      </x:c>
      <x:c r="F74" s="72" t="str">
        <x:v>Review TypeID</x:v>
      </x:c>
    </x:row>
    <x:row r="75">
      <x:c r="A75" t="str">
        <x:v>DQ-0064</x:v>
      </x:c>
      <x:c r="B75" t="str">
        <x:v>Warning</x:v>
      </x:c>
      <x:c r="C75" t="str">
        <x:v>Blueprints</x:v>
      </x:c>
      <x:c r="D75" t="str">
        <x:v>BLUE-BUS-014</x:v>
      </x:c>
      <x:c r="E75" t="str">
        <x:v>Type/Category</x:v>
      </x:c>
      <x:c r="F75" s="72" t="str">
        <x:v>Review TypeID</x:v>
      </x:c>
    </x:row>
    <x:row r="76">
      <x:c r="A76" t="str">
        <x:v>DQ-0065</x:v>
      </x:c>
      <x:c r="B76" t="str">
        <x:v>Warning</x:v>
      </x:c>
      <x:c r="C76" t="str">
        <x:v>Blueprints</x:v>
      </x:c>
      <x:c r="D76" t="str">
        <x:v>BLUE-BUS-015</x:v>
      </x:c>
      <x:c r="E76" t="str">
        <x:v>Type/Category</x:v>
      </x:c>
      <x:c r="F76" s="72" t="str">
        <x:v>Review TypeID</x:v>
      </x:c>
    </x:row>
    <x:row r="77">
      <x:c r="A77" t="str">
        <x:v>DQ-0066</x:v>
      </x:c>
      <x:c r="B77" t="str">
        <x:v>Warning</x:v>
      </x:c>
      <x:c r="C77" t="str">
        <x:v>Blueprints</x:v>
      </x:c>
      <x:c r="D77" t="str">
        <x:v>BLUE-BUS-016</x:v>
      </x:c>
      <x:c r="E77" t="str">
        <x:v>Type/Category</x:v>
      </x:c>
      <x:c r="F77" s="72" t="str">
        <x:v>Review TypeID</x:v>
      </x:c>
    </x:row>
    <x:row r="78">
      <x:c r="A78" t="str">
        <x:v>DQ-0067</x:v>
      </x:c>
      <x:c r="B78" t="str">
        <x:v>Warning</x:v>
      </x:c>
      <x:c r="C78" t="str">
        <x:v>Plan</x:v>
      </x:c>
      <x:c r="D78" t="str">
        <x:v>PLAN-REASS-NEURO-CX-001</x:v>
      </x:c>
      <x:c r="E78" t="str">
        <x:v>Type/Category</x:v>
      </x:c>
      <x:c r="F78" s="72" t="str">
        <x:v>Invalid CategoryID</x:v>
      </x:c>
    </x:row>
    <x:row r="79">
      <x:c r="A79" t="str">
        <x:v>DQ-0068</x:v>
      </x:c>
      <x:c r="B79" t="str">
        <x:v>Warning</x:v>
      </x:c>
      <x:c r="C79" t="str">
        <x:v>Plan</x:v>
      </x:c>
      <x:c r="D79" t="str">
        <x:v>PLAN-REASS-NEURO-LX-001</x:v>
      </x:c>
      <x:c r="E79" t="str">
        <x:v>Type/Category</x:v>
      </x:c>
      <x:c r="F79" s="72" t="str">
        <x:v>Invalid CategoryID</x:v>
      </x:c>
    </x:row>
    <x:row r="80">
      <x:c r="A80" t="str">
        <x:v>DQ-0069</x:v>
      </x:c>
      <x:c r="B80" t="str">
        <x:v>Warning</x:v>
      </x:c>
      <x:c r="C80" t="str">
        <x:v>Plan</x:v>
      </x:c>
      <x:c r="D80" t="str">
        <x:v>PLAN-REASS-HEADACHE-001</x:v>
      </x:c>
      <x:c r="E80" t="str">
        <x:v>Type/Category</x:v>
      </x:c>
      <x:c r="F80" s="72" t="str">
        <x:v>Invalid CategoryID</x:v>
      </x:c>
    </x:row>
  </x:sheetData>
  <x:mergeCells>
    <x:mergeCell ref="A1:F1"/>
    <x:mergeCell ref="A9:F9"/>
  </x:mergeCells>
  <x:pageMargins left="0.7" right="0.7" top="0.75" bottom="0.75" header="0.3" footer="0.3"/>
  <x:tableParts count="1">
    <x:tablePart xmlns:r="http://schemas.openxmlformats.org/officeDocument/2006/relationships" r:id="R9683962d78934db8"/>
  </x:tableParts>
</x:worksheet>
</file>